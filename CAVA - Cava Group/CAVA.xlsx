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To Model/CAVA - Cava Group (!!!)/"/>
    </mc:Choice>
  </mc:AlternateContent>
  <xr:revisionPtr revIDLastSave="473" documentId="11_AD4DF034E34935FBC521DCE2FF5B45405ADEDD89" xr6:coauthVersionLast="47" xr6:coauthVersionMax="47" xr10:uidLastSave="{BCC2B129-08EE-4429-AF7F-577BB7BFEFA9}"/>
  <bookViews>
    <workbookView xWindow="-98" yWindow="-98" windowWidth="20715" windowHeight="13155" activeTab="2" xr2:uid="{00000000-000D-0000-FFFF-FFFF00000000}"/>
  </bookViews>
  <sheets>
    <sheet name="CAVA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" l="1"/>
  <c r="Q25" i="3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J25" i="3"/>
  <c r="K25" i="3" s="1"/>
  <c r="L25" i="3" s="1"/>
  <c r="M25" i="3" s="1"/>
  <c r="N25" i="3" s="1"/>
  <c r="O25" i="3" s="1"/>
  <c r="P25" i="3" s="1"/>
  <c r="I25" i="3"/>
  <c r="J24" i="3"/>
  <c r="K24" i="3" s="1"/>
  <c r="L24" i="3" s="1"/>
  <c r="M24" i="3" s="1"/>
  <c r="N24" i="3" s="1"/>
  <c r="O24" i="3" s="1"/>
  <c r="P24" i="3" s="1"/>
  <c r="I24" i="3"/>
  <c r="G33" i="3"/>
  <c r="F33" i="3"/>
  <c r="E33" i="3"/>
  <c r="G32" i="3"/>
  <c r="F32" i="3"/>
  <c r="E3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3" i="3"/>
  <c r="N6" i="2"/>
  <c r="N4" i="2"/>
  <c r="N3" i="2"/>
  <c r="E8" i="1"/>
  <c r="E5" i="1"/>
</calcChain>
</file>

<file path=xl/sharedStrings.xml><?xml version="1.0" encoding="utf-8"?>
<sst xmlns="http://schemas.openxmlformats.org/spreadsheetml/2006/main" count="85" uniqueCount="72">
  <si>
    <t>Ticker</t>
  </si>
  <si>
    <t>Price</t>
  </si>
  <si>
    <t>MC</t>
  </si>
  <si>
    <t>S O/s</t>
  </si>
  <si>
    <t>Cash</t>
  </si>
  <si>
    <t>Debt</t>
  </si>
  <si>
    <t>EV</t>
  </si>
  <si>
    <t>$CAVA</t>
  </si>
  <si>
    <t>16B</t>
  </si>
  <si>
    <t>Assets</t>
  </si>
  <si>
    <t>Non-current Assets</t>
  </si>
  <si>
    <t>PPE</t>
  </si>
  <si>
    <t>Operating Lease assets</t>
  </si>
  <si>
    <t>Goodwill</t>
  </si>
  <si>
    <t>Intangible assets</t>
  </si>
  <si>
    <t>Other long-term assets</t>
  </si>
  <si>
    <t>Current Assets</t>
  </si>
  <si>
    <t>Inventories</t>
  </si>
  <si>
    <t>Prepaid expenses &amp; other</t>
  </si>
  <si>
    <t>Trade accounts receivable</t>
  </si>
  <si>
    <t>Other accounts receivable</t>
  </si>
  <si>
    <t>Cash and cash equivalents</t>
  </si>
  <si>
    <t>Liquidability (%)</t>
  </si>
  <si>
    <t>Total Liabilities</t>
  </si>
  <si>
    <t>Asset Liquidation Value</t>
  </si>
  <si>
    <t>Company Liquidation Value</t>
  </si>
  <si>
    <t>Liquidation Value</t>
  </si>
  <si>
    <t>Market Capitalization</t>
  </si>
  <si>
    <t>Revenue</t>
  </si>
  <si>
    <t>Operating Expenses:</t>
  </si>
  <si>
    <t>&gt; Food, beverage, packing</t>
  </si>
  <si>
    <t>&gt; Labor</t>
  </si>
  <si>
    <t>&gt; Occupancy</t>
  </si>
  <si>
    <t>Total restaurant operating expenses</t>
  </si>
  <si>
    <t>General &amp; Administrative expenses</t>
  </si>
  <si>
    <t>Depreciation and amortization</t>
  </si>
  <si>
    <t>Restructuring and other costs</t>
  </si>
  <si>
    <t>Pre-opening costs</t>
  </si>
  <si>
    <t>Impairment and asset disposal costs</t>
  </si>
  <si>
    <t>Total operating expenses</t>
  </si>
  <si>
    <t>&gt; Interest income</t>
  </si>
  <si>
    <t>&gt; Other income</t>
  </si>
  <si>
    <t>EBT</t>
  </si>
  <si>
    <t>EBIT</t>
  </si>
  <si>
    <t>Net Income</t>
  </si>
  <si>
    <t>-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</si>
  <si>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</si>
  <si>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</si>
  <si>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</si>
  <si>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</si>
  <si>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</si>
  <si>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</si>
  <si>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</si>
  <si>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</si>
  <si>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</si>
  <si>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</si>
  <si>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</si>
  <si>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</si>
  <si>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&gt; Other restaurant operating expenses</t>
  </si>
  <si>
    <t>Tax Expense</t>
  </si>
  <si>
    <t>Operating CF</t>
  </si>
  <si>
    <t>Investing CF</t>
  </si>
  <si>
    <t>Financing CF</t>
  </si>
  <si>
    <t>Capex</t>
  </si>
  <si>
    <t>FCF</t>
  </si>
  <si>
    <t>Change in cash</t>
  </si>
  <si>
    <t>DCF</t>
  </si>
  <si>
    <t>discount rate of 6%</t>
  </si>
  <si>
    <t>needs to grow at 29% for 25 years lol</t>
  </si>
  <si>
    <t>insane, nice short possibly</t>
  </si>
  <si>
    <t>from a net income of 13 millions to 13 billion, LMFAO</t>
  </si>
  <si>
    <t>not discounting cash flow since it's been negative since inception of this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</si>
</sst>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.0\ _€_-;\-* #,##0.0\ _€_-;_-* &quot;-&quot;?\ _€_-;_-@_-"/>
    <numFmt numFmtId="167" formatCode="0_ ;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3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3" borderId="0" xfId="0" applyFont="1" applyFill="1" applyBorder="1" applyAlignment="1">
      <alignment horizontal="left"/>
    </xf>
    <xf numFmtId="0" fontId="3" fillId="4" borderId="0" xfId="0" applyFont="1" applyFill="1" applyBorder="1" applyAlignment="1"/>
    <xf numFmtId="0" fontId="3" fillId="4" borderId="0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3" fillId="2" borderId="2" xfId="0" applyFont="1" applyFill="1" applyBorder="1" applyAlignment="1"/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6" fillId="0" borderId="0" xfId="0" applyFont="1"/>
    <xf numFmtId="0" fontId="2" fillId="0" borderId="0" xfId="0" applyFont="1"/>
    <xf numFmtId="9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164" fontId="2" fillId="0" borderId="0" xfId="1" applyNumberFormat="1" applyFont="1"/>
    <xf numFmtId="43" fontId="0" fillId="0" borderId="0" xfId="1" applyNumberFormat="1" applyFont="1"/>
    <xf numFmtId="167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9"/>
  <sheetViews>
    <sheetView workbookViewId="0">
      <selection activeCell="E11" sqref="E11"/>
    </sheetView>
  </sheetViews>
  <sheetFormatPr defaultRowHeight="14.25" x14ac:dyDescent="0.45"/>
  <cols>
    <col min="4" max="4" width="5.53125" bestFit="1" customWidth="1"/>
    <col min="5" max="5" width="9.73046875" bestFit="1" customWidth="1"/>
  </cols>
  <sheetData>
    <row r="2" spans="4:6" x14ac:dyDescent="0.45">
      <c r="D2" s="1" t="s">
        <v>0</v>
      </c>
      <c r="E2" s="6" t="s">
        <v>7</v>
      </c>
    </row>
    <row r="3" spans="4:6" x14ac:dyDescent="0.45">
      <c r="D3" s="3" t="s">
        <v>1</v>
      </c>
      <c r="E3" s="2">
        <v>145</v>
      </c>
    </row>
    <row r="4" spans="4:6" x14ac:dyDescent="0.45">
      <c r="D4" s="3" t="s">
        <v>3</v>
      </c>
      <c r="E4" s="2">
        <v>114.58</v>
      </c>
    </row>
    <row r="5" spans="4:6" x14ac:dyDescent="0.45">
      <c r="D5" s="5" t="s">
        <v>2</v>
      </c>
      <c r="E5" s="4">
        <f>E4*E3</f>
        <v>16614.099999999999</v>
      </c>
      <c r="F5" t="s">
        <v>8</v>
      </c>
    </row>
    <row r="6" spans="4:6" x14ac:dyDescent="0.45">
      <c r="D6" s="5" t="s">
        <v>4</v>
      </c>
      <c r="E6" s="4">
        <v>367.16</v>
      </c>
    </row>
    <row r="7" spans="4:6" x14ac:dyDescent="0.45">
      <c r="D7" s="5" t="s">
        <v>5</v>
      </c>
      <c r="E7" s="4">
        <v>463.10199999999998</v>
      </c>
    </row>
    <row r="8" spans="4:6" ht="14.65" thickBot="1" x14ac:dyDescent="0.5">
      <c r="D8" s="7" t="s">
        <v>6</v>
      </c>
      <c r="E8" s="8">
        <f>E5-E6+E7</f>
        <v>16710.041999999998</v>
      </c>
    </row>
    <row r="9" spans="4:6" ht="14.65" thickTop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CCD3-CFD0-472F-BFBB-E6A7316941C7}">
  <dimension ref="G2:N16"/>
  <sheetViews>
    <sheetView workbookViewId="0">
      <selection activeCell="N7" sqref="N7"/>
    </sheetView>
  </sheetViews>
  <sheetFormatPr defaultRowHeight="14.25" x14ac:dyDescent="0.45"/>
  <cols>
    <col min="7" max="7" width="21.3984375" bestFit="1" customWidth="1"/>
    <col min="8" max="8" width="10.86328125" bestFit="1" customWidth="1"/>
    <col min="9" max="9" width="13.46484375" bestFit="1" customWidth="1"/>
    <col min="12" max="12" width="9.86328125" bestFit="1" customWidth="1"/>
    <col min="13" max="13" width="14.796875" customWidth="1"/>
    <col min="14" max="14" width="13.86328125" bestFit="1" customWidth="1"/>
  </cols>
  <sheetData>
    <row r="2" spans="7:14" x14ac:dyDescent="0.45">
      <c r="G2" s="9" t="s">
        <v>9</v>
      </c>
      <c r="H2" s="9"/>
      <c r="I2" t="s">
        <v>22</v>
      </c>
    </row>
    <row r="3" spans="7:14" x14ac:dyDescent="0.45">
      <c r="G3" s="11" t="s">
        <v>10</v>
      </c>
      <c r="L3" s="12" t="s">
        <v>24</v>
      </c>
      <c r="N3" s="14">
        <f>SUM(H10:H14)</f>
        <v>393260</v>
      </c>
    </row>
    <row r="4" spans="7:14" x14ac:dyDescent="0.45">
      <c r="G4" t="s">
        <v>11</v>
      </c>
      <c r="H4" s="10">
        <v>363216</v>
      </c>
      <c r="I4" s="13">
        <v>0</v>
      </c>
      <c r="L4" t="s">
        <v>25</v>
      </c>
      <c r="N4" s="15">
        <f>N3-H16</f>
        <v>-69842</v>
      </c>
    </row>
    <row r="5" spans="7:14" x14ac:dyDescent="0.45">
      <c r="G5" t="s">
        <v>12</v>
      </c>
      <c r="H5" s="10">
        <v>314073</v>
      </c>
      <c r="I5" s="13">
        <v>0</v>
      </c>
      <c r="L5" t="s">
        <v>27</v>
      </c>
      <c r="N5" s="10">
        <v>16614000</v>
      </c>
    </row>
    <row r="6" spans="7:14" x14ac:dyDescent="0.45">
      <c r="G6" t="s">
        <v>13</v>
      </c>
      <c r="H6" s="10">
        <v>1944</v>
      </c>
      <c r="I6" s="13">
        <v>0</v>
      </c>
      <c r="L6" t="s">
        <v>26</v>
      </c>
      <c r="N6" s="15">
        <f>N5+N4</f>
        <v>16544158</v>
      </c>
    </row>
    <row r="7" spans="7:14" x14ac:dyDescent="0.45">
      <c r="G7" t="s">
        <v>14</v>
      </c>
      <c r="H7" s="10">
        <v>1355</v>
      </c>
      <c r="I7" s="13">
        <v>0</v>
      </c>
    </row>
    <row r="8" spans="7:14" x14ac:dyDescent="0.45">
      <c r="G8" t="s">
        <v>15</v>
      </c>
      <c r="H8" s="10">
        <v>5691</v>
      </c>
      <c r="I8" s="13">
        <v>0</v>
      </c>
    </row>
    <row r="9" spans="7:14" x14ac:dyDescent="0.45">
      <c r="G9" s="11" t="s">
        <v>16</v>
      </c>
      <c r="H9" s="10"/>
      <c r="I9" s="13"/>
    </row>
    <row r="10" spans="7:14" x14ac:dyDescent="0.45">
      <c r="G10" t="s">
        <v>17</v>
      </c>
      <c r="H10" s="10">
        <v>7335</v>
      </c>
      <c r="I10" s="13">
        <v>1</v>
      </c>
    </row>
    <row r="11" spans="7:14" x14ac:dyDescent="0.45">
      <c r="G11" t="s">
        <v>18</v>
      </c>
      <c r="H11" s="10">
        <v>5565</v>
      </c>
      <c r="I11" s="13">
        <v>1</v>
      </c>
    </row>
    <row r="12" spans="7:14" x14ac:dyDescent="0.45">
      <c r="G12" t="s">
        <v>19</v>
      </c>
      <c r="H12" s="10">
        <v>6483</v>
      </c>
      <c r="I12" s="13">
        <v>1</v>
      </c>
    </row>
    <row r="13" spans="7:14" x14ac:dyDescent="0.45">
      <c r="G13" t="s">
        <v>20</v>
      </c>
      <c r="H13" s="10">
        <v>6717</v>
      </c>
      <c r="I13" s="13">
        <v>1</v>
      </c>
    </row>
    <row r="14" spans="7:14" x14ac:dyDescent="0.45">
      <c r="G14" t="s">
        <v>21</v>
      </c>
      <c r="H14" s="10">
        <v>367160</v>
      </c>
      <c r="I14" s="13">
        <v>1</v>
      </c>
    </row>
    <row r="15" spans="7:14" x14ac:dyDescent="0.45">
      <c r="H15" s="10"/>
      <c r="I15" s="13"/>
    </row>
    <row r="16" spans="7:14" x14ac:dyDescent="0.45">
      <c r="G16" s="12" t="s">
        <v>23</v>
      </c>
      <c r="H16" s="10">
        <v>463102</v>
      </c>
      <c r="I16" s="13"/>
    </row>
  </sheetData>
  <mergeCells count="1"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D99C-89F3-44EF-8FEB-558D824D349C}">
  <dimension ref="D1:AI33"/>
  <sheetViews>
    <sheetView tabSelected="1" topLeftCell="A8" workbookViewId="0">
      <selection activeCell="L33" sqref="L33"/>
    </sheetView>
  </sheetViews>
  <sheetFormatPr defaultRowHeight="14.25" x14ac:dyDescent="0.45"/>
  <cols>
    <col min="4" max="4" width="31.33203125" bestFit="1" customWidth="1"/>
    <col min="5" max="5" width="11" style="10" bestFit="1" customWidth="1"/>
    <col min="6" max="8" width="9.86328125" style="10" bestFit="1" customWidth="1"/>
    <col min="9" max="9" width="10.86328125" style="10" bestFit="1" customWidth="1"/>
    <col min="10" max="16" width="12.33203125" style="10" bestFit="1" customWidth="1"/>
    <col min="17" max="18" width="12.33203125" bestFit="1" customWidth="1"/>
    <col min="35" max="35" width="12.33203125" bestFit="1" customWidth="1"/>
  </cols>
  <sheetData>
    <row r="1" spans="4:19" x14ac:dyDescent="0.45">
      <c r="E1"/>
      <c r="F1"/>
      <c r="G1"/>
      <c r="H1"/>
      <c r="I1"/>
      <c r="J1"/>
      <c r="K1"/>
      <c r="L1"/>
      <c r="M1"/>
      <c r="N1"/>
      <c r="O1"/>
      <c r="P1"/>
    </row>
    <row r="2" spans="4:19" x14ac:dyDescent="0.45"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4:19" x14ac:dyDescent="0.45">
      <c r="D3" s="12" t="s">
        <v>28</v>
      </c>
      <c r="E3" s="16"/>
      <c r="F3" s="16">
        <v>135915</v>
      </c>
      <c r="G3" s="16">
        <v>139258</v>
      </c>
      <c r="H3" s="16"/>
      <c r="I3" s="16">
        <v>203083</v>
      </c>
      <c r="J3" s="16">
        <v>172894</v>
      </c>
      <c r="K3" s="16">
        <v>175553</v>
      </c>
      <c r="L3" s="16">
        <f>728700-K3-J3-I3</f>
        <v>177170</v>
      </c>
      <c r="M3" s="16">
        <v>259006</v>
      </c>
      <c r="N3" s="16">
        <v>233495</v>
      </c>
      <c r="O3" s="16">
        <v>243817</v>
      </c>
      <c r="P3" s="16"/>
      <c r="Q3" s="12"/>
      <c r="R3" s="12"/>
      <c r="S3" s="12"/>
    </row>
    <row r="4" spans="4:19" x14ac:dyDescent="0.45">
      <c r="D4" t="s">
        <v>29</v>
      </c>
      <c r="E4" s="10" t="s">
        <v>45</v>
      </c>
      <c r="F4" s="10" t="s">
        <v>45</v>
      </c>
      <c r="G4" s="10" t="s">
        <v>45</v>
      </c>
      <c r="H4" s="10" t="s">
        <v>45</v>
      </c>
      <c r="I4" s="10" t="s">
        <v>45</v>
      </c>
      <c r="J4" s="10" t="s">
        <v>45</v>
      </c>
      <c r="K4" s="10" t="s">
        <v>45</v>
      </c>
      <c r="L4" s="10" t="s">
        <v>45</v>
      </c>
      <c r="M4" s="10" t="s">
        <v>45</v>
      </c>
      <c r="N4" s="10" t="s">
        <v>45</v>
      </c>
      <c r="O4" s="10" t="s">
        <v>45</v>
      </c>
      <c r="P4" s="10" t="s">
        <v>45</v>
      </c>
    </row>
    <row r="5" spans="4:19" x14ac:dyDescent="0.45">
      <c r="D5" t="s">
        <v>30</v>
      </c>
      <c r="F5" s="10">
        <v>43741</v>
      </c>
      <c r="G5" s="10">
        <v>44617</v>
      </c>
      <c r="I5" s="10">
        <v>59118</v>
      </c>
      <c r="J5" s="10">
        <v>51000</v>
      </c>
      <c r="K5" s="10">
        <v>51818</v>
      </c>
      <c r="L5" s="10">
        <f>213458-K5-J5-I5</f>
        <v>51522</v>
      </c>
      <c r="M5" s="10">
        <v>73947</v>
      </c>
      <c r="N5" s="10">
        <v>68839</v>
      </c>
      <c r="O5" s="10">
        <v>73540</v>
      </c>
    </row>
    <row r="6" spans="4:19" x14ac:dyDescent="0.45">
      <c r="D6" t="s">
        <v>31</v>
      </c>
      <c r="F6" s="10">
        <v>37731</v>
      </c>
      <c r="G6" s="10">
        <v>37193</v>
      </c>
      <c r="I6" s="10">
        <v>52154</v>
      </c>
      <c r="J6" s="10">
        <v>42417</v>
      </c>
      <c r="K6" s="10">
        <v>43913</v>
      </c>
      <c r="L6" s="10">
        <f>187326-K6-J6-I6</f>
        <v>48842</v>
      </c>
      <c r="M6" s="10">
        <v>66513</v>
      </c>
      <c r="N6" s="10">
        <v>58388</v>
      </c>
      <c r="O6" s="10">
        <v>61223</v>
      </c>
    </row>
    <row r="7" spans="4:19" x14ac:dyDescent="0.45">
      <c r="D7" t="s">
        <v>32</v>
      </c>
      <c r="F7" s="10">
        <v>12214</v>
      </c>
      <c r="G7" s="10">
        <v>12302</v>
      </c>
      <c r="I7" s="10">
        <v>16599</v>
      </c>
      <c r="J7" s="10">
        <v>13400</v>
      </c>
      <c r="K7" s="10">
        <v>13782</v>
      </c>
      <c r="L7" s="10">
        <f>58319-K7-J7-I7</f>
        <v>14538</v>
      </c>
      <c r="M7" s="10">
        <v>20422</v>
      </c>
      <c r="N7" s="10">
        <v>15917</v>
      </c>
      <c r="O7" s="10">
        <v>16412</v>
      </c>
    </row>
    <row r="8" spans="4:19" x14ac:dyDescent="0.45">
      <c r="D8" t="s">
        <v>58</v>
      </c>
      <c r="F8" s="10">
        <v>16624</v>
      </c>
      <c r="G8" s="10">
        <v>18738</v>
      </c>
      <c r="I8" s="10">
        <v>24648</v>
      </c>
      <c r="J8" s="10">
        <v>20646</v>
      </c>
      <c r="K8" s="10">
        <v>21553</v>
      </c>
      <c r="L8" s="10">
        <f>89251-K8-J8-I8</f>
        <v>22404</v>
      </c>
      <c r="M8" s="10">
        <v>32758</v>
      </c>
      <c r="N8" s="10">
        <v>27991</v>
      </c>
      <c r="O8" s="10">
        <v>29985</v>
      </c>
    </row>
    <row r="9" spans="4:19" x14ac:dyDescent="0.45">
      <c r="D9" t="s">
        <v>33</v>
      </c>
      <c r="F9" s="10">
        <v>110310</v>
      </c>
      <c r="G9" s="10">
        <v>112850</v>
      </c>
      <c r="I9" s="10">
        <v>152519</v>
      </c>
      <c r="J9" s="10">
        <v>127463</v>
      </c>
      <c r="K9" s="10">
        <v>131066</v>
      </c>
      <c r="L9" s="10">
        <f>548354-K9-J9-I9</f>
        <v>137306</v>
      </c>
      <c r="M9" s="10">
        <v>193640</v>
      </c>
      <c r="N9" s="10">
        <v>171135</v>
      </c>
      <c r="O9" s="10">
        <v>181170</v>
      </c>
    </row>
    <row r="10" spans="4:19" x14ac:dyDescent="0.45">
      <c r="D10" t="s">
        <v>34</v>
      </c>
      <c r="F10" s="10">
        <v>16284</v>
      </c>
      <c r="G10" s="10">
        <v>16547</v>
      </c>
      <c r="I10" s="10">
        <v>29024</v>
      </c>
      <c r="J10" s="10">
        <v>23321</v>
      </c>
      <c r="K10" s="10">
        <v>24472</v>
      </c>
      <c r="L10" s="10">
        <f>101491-K10-J10-I10</f>
        <v>24674</v>
      </c>
      <c r="M10" s="10">
        <v>33840</v>
      </c>
      <c r="N10" s="10">
        <v>28281</v>
      </c>
      <c r="O10" s="10">
        <v>29830</v>
      </c>
    </row>
    <row r="11" spans="4:19" x14ac:dyDescent="0.45">
      <c r="D11" t="s">
        <v>35</v>
      </c>
      <c r="F11" s="10">
        <v>8946</v>
      </c>
      <c r="G11" s="10">
        <v>10018</v>
      </c>
      <c r="I11" s="10">
        <v>12859</v>
      </c>
      <c r="J11" s="10">
        <v>10709</v>
      </c>
      <c r="K11" s="10">
        <v>11528</v>
      </c>
      <c r="L11" s="10">
        <f>47433-K11-J11-I11</f>
        <v>12337</v>
      </c>
      <c r="M11" s="10">
        <v>17322</v>
      </c>
      <c r="N11" s="10">
        <v>13733</v>
      </c>
      <c r="O11" s="10">
        <v>14325</v>
      </c>
    </row>
    <row r="12" spans="4:19" x14ac:dyDescent="0.45">
      <c r="D12" t="s">
        <v>36</v>
      </c>
      <c r="F12" s="10">
        <v>1650</v>
      </c>
      <c r="G12" s="10">
        <v>2055</v>
      </c>
      <c r="I12" s="10">
        <v>2215</v>
      </c>
      <c r="J12" s="10">
        <v>1853</v>
      </c>
      <c r="K12" s="10">
        <v>1092</v>
      </c>
      <c r="L12" s="10">
        <f>6080-K12-J12-I12</f>
        <v>920</v>
      </c>
      <c r="M12" s="10">
        <v>282</v>
      </c>
      <c r="N12" s="10">
        <v>70</v>
      </c>
      <c r="O12" s="10">
        <v>230</v>
      </c>
    </row>
    <row r="13" spans="4:19" x14ac:dyDescent="0.45">
      <c r="D13" t="s">
        <v>37</v>
      </c>
      <c r="F13" s="10">
        <v>4484</v>
      </c>
      <c r="G13" s="10">
        <v>6175</v>
      </c>
      <c r="I13" s="10">
        <v>5999</v>
      </c>
      <c r="J13" s="10">
        <v>3400</v>
      </c>
      <c r="K13" s="10">
        <v>3410</v>
      </c>
      <c r="L13" s="10">
        <f>15718-K13-J13-I13</f>
        <v>2909</v>
      </c>
      <c r="M13" s="10">
        <v>3379</v>
      </c>
      <c r="N13" s="10">
        <v>3302</v>
      </c>
      <c r="O13" s="10">
        <v>2819</v>
      </c>
    </row>
    <row r="14" spans="4:19" x14ac:dyDescent="0.45">
      <c r="D14" t="s">
        <v>38</v>
      </c>
      <c r="F14" s="10">
        <v>2579</v>
      </c>
      <c r="G14" s="10">
        <v>3838</v>
      </c>
      <c r="I14" s="10">
        <v>2719</v>
      </c>
      <c r="J14" s="10">
        <v>386</v>
      </c>
      <c r="K14" s="10">
        <v>1190</v>
      </c>
      <c r="L14" s="10">
        <f>4899-K14-J14-I14</f>
        <v>604</v>
      </c>
      <c r="M14" s="10">
        <v>1290</v>
      </c>
      <c r="N14" s="10">
        <v>830</v>
      </c>
      <c r="O14" s="10">
        <v>1675</v>
      </c>
    </row>
    <row r="15" spans="4:19" x14ac:dyDescent="0.45">
      <c r="D15" t="s">
        <v>39</v>
      </c>
      <c r="F15" s="10">
        <v>144253</v>
      </c>
      <c r="G15" s="10">
        <v>151483</v>
      </c>
      <c r="I15" s="10">
        <v>205335</v>
      </c>
      <c r="J15" s="10">
        <v>167132</v>
      </c>
      <c r="K15" s="10">
        <v>172758</v>
      </c>
      <c r="L15" s="10">
        <f>723975-K15-J15-I15</f>
        <v>178750</v>
      </c>
      <c r="M15" s="10">
        <v>249753</v>
      </c>
      <c r="N15" s="10">
        <v>217351</v>
      </c>
      <c r="O15" s="10">
        <v>230049</v>
      </c>
    </row>
    <row r="16" spans="4:19" x14ac:dyDescent="0.45">
      <c r="D16" t="s">
        <v>43</v>
      </c>
      <c r="F16" s="10">
        <v>-8338</v>
      </c>
      <c r="G16" s="10">
        <v>-12225</v>
      </c>
      <c r="I16" s="10">
        <v>-2252</v>
      </c>
      <c r="J16" s="10">
        <v>5762</v>
      </c>
      <c r="K16" s="10">
        <v>2795</v>
      </c>
      <c r="L16" s="10">
        <f>4725-K16-J16-I16</f>
        <v>-1580</v>
      </c>
      <c r="M16" s="10">
        <v>9253</v>
      </c>
      <c r="N16" s="10">
        <v>16144</v>
      </c>
      <c r="O16" s="10">
        <v>13768</v>
      </c>
    </row>
    <row r="17" spans="4:35" x14ac:dyDescent="0.45">
      <c r="D17" t="s">
        <v>40</v>
      </c>
      <c r="F17" s="10">
        <v>34</v>
      </c>
      <c r="G17" s="10">
        <v>-115</v>
      </c>
      <c r="I17" s="10">
        <v>25</v>
      </c>
      <c r="J17" s="10">
        <v>-699</v>
      </c>
      <c r="K17" s="10">
        <v>-3956</v>
      </c>
      <c r="L17" s="10">
        <f>-8852-K17-J17-I17</f>
        <v>-4222</v>
      </c>
      <c r="M17" s="10">
        <v>-4914</v>
      </c>
      <c r="N17" s="10">
        <v>-3824</v>
      </c>
      <c r="O17" s="10">
        <v>-4091</v>
      </c>
    </row>
    <row r="18" spans="4:35" x14ac:dyDescent="0.45">
      <c r="D18" t="s">
        <v>41</v>
      </c>
      <c r="F18" s="10">
        <v>-198</v>
      </c>
      <c r="G18" s="10">
        <v>-188</v>
      </c>
      <c r="I18" s="10">
        <v>-174</v>
      </c>
      <c r="J18" s="10">
        <v>-188</v>
      </c>
      <c r="K18" s="10">
        <v>-120</v>
      </c>
      <c r="L18" s="10">
        <f>-471-K18-J18-I18</f>
        <v>11</v>
      </c>
      <c r="M18" s="10">
        <v>-78</v>
      </c>
      <c r="N18" s="10">
        <v>-60</v>
      </c>
      <c r="O18" s="10">
        <v>-50</v>
      </c>
    </row>
    <row r="19" spans="4:35" x14ac:dyDescent="0.45">
      <c r="D19" t="s">
        <v>42</v>
      </c>
      <c r="F19" s="10">
        <v>-8174</v>
      </c>
      <c r="G19" s="10">
        <v>-11922</v>
      </c>
      <c r="I19" s="10">
        <v>-2103</v>
      </c>
      <c r="J19" s="10">
        <v>6579</v>
      </c>
      <c r="K19" s="10">
        <v>6871</v>
      </c>
      <c r="L19" s="10">
        <f>10048-K19-J19-I19</f>
        <v>-1299</v>
      </c>
      <c r="M19" s="10">
        <v>14245</v>
      </c>
      <c r="N19" s="10">
        <v>20028</v>
      </c>
      <c r="O19" s="10">
        <v>17909</v>
      </c>
      <c r="P19" s="16"/>
      <c r="Q19" s="12"/>
      <c r="R19" s="12"/>
      <c r="S19" s="12"/>
      <c r="T19" s="12"/>
      <c r="U19" s="12"/>
      <c r="V19" s="12"/>
      <c r="W19" s="12"/>
    </row>
    <row r="20" spans="4:35" x14ac:dyDescent="0.45">
      <c r="D20" t="s">
        <v>59</v>
      </c>
      <c r="F20" s="10">
        <v>56</v>
      </c>
      <c r="G20" s="10">
        <v>-29</v>
      </c>
      <c r="I20" s="10">
        <v>38</v>
      </c>
      <c r="J20" s="10">
        <v>40</v>
      </c>
      <c r="K20" s="10">
        <v>38</v>
      </c>
      <c r="L20" s="10">
        <f>768-K20-J20-I20</f>
        <v>652</v>
      </c>
      <c r="M20" s="10">
        <v>252</v>
      </c>
      <c r="N20" s="10">
        <v>287</v>
      </c>
      <c r="O20" s="10">
        <v>-57</v>
      </c>
    </row>
    <row r="21" spans="4:35" x14ac:dyDescent="0.45">
      <c r="D21" s="12" t="s">
        <v>44</v>
      </c>
      <c r="E21" s="16"/>
      <c r="F21" s="16">
        <v>-8230</v>
      </c>
      <c r="G21" s="16">
        <v>-11893</v>
      </c>
      <c r="H21" s="16"/>
      <c r="I21" s="16">
        <v>-2141</v>
      </c>
      <c r="J21" s="16">
        <v>6539</v>
      </c>
      <c r="K21" s="16">
        <v>6833</v>
      </c>
      <c r="L21" s="16">
        <f>13280-K21-J21-I21</f>
        <v>2049</v>
      </c>
      <c r="M21" s="16">
        <v>13993</v>
      </c>
      <c r="N21" s="16">
        <v>19741</v>
      </c>
      <c r="O21" s="16">
        <v>17966</v>
      </c>
    </row>
    <row r="23" spans="4:35" x14ac:dyDescent="0.45">
      <c r="F23" s="18">
        <v>2021</v>
      </c>
      <c r="G23" s="18">
        <v>2022</v>
      </c>
      <c r="H23" s="18">
        <v>2023</v>
      </c>
      <c r="I23" s="18">
        <v>2024</v>
      </c>
      <c r="J23" s="18">
        <v>2025</v>
      </c>
      <c r="K23" s="18">
        <v>2026</v>
      </c>
      <c r="L23" s="18">
        <v>2027</v>
      </c>
      <c r="M23" s="18">
        <v>2028</v>
      </c>
      <c r="N23" s="18">
        <v>2029</v>
      </c>
      <c r="O23" s="18">
        <v>2030</v>
      </c>
      <c r="P23" s="18">
        <v>2031</v>
      </c>
      <c r="Q23" s="18">
        <v>2032</v>
      </c>
      <c r="R23" s="18">
        <v>2033</v>
      </c>
      <c r="S23" s="18">
        <v>2034</v>
      </c>
      <c r="T23" s="18">
        <v>2035</v>
      </c>
      <c r="U23" s="18">
        <v>2036</v>
      </c>
      <c r="V23" s="18">
        <v>2037</v>
      </c>
      <c r="W23" s="18">
        <v>2038</v>
      </c>
      <c r="X23" s="18">
        <v>2039</v>
      </c>
      <c r="Y23" s="18">
        <v>2040</v>
      </c>
      <c r="Z23" s="18">
        <v>2041</v>
      </c>
      <c r="AA23" s="18">
        <v>2042</v>
      </c>
      <c r="AB23" s="18">
        <v>2043</v>
      </c>
      <c r="AC23" s="18">
        <v>2044</v>
      </c>
      <c r="AD23" s="18">
        <v>2045</v>
      </c>
      <c r="AE23" s="18">
        <v>2046</v>
      </c>
      <c r="AF23" s="18">
        <v>2047</v>
      </c>
      <c r="AG23" s="18">
        <v>2048</v>
      </c>
      <c r="AH23" s="18">
        <v>2049</v>
      </c>
      <c r="AI23" s="18">
        <v>2050</v>
      </c>
    </row>
    <row r="24" spans="4:35" x14ac:dyDescent="0.45">
      <c r="E24" s="10" t="s">
        <v>28</v>
      </c>
      <c r="F24" s="10">
        <v>500072</v>
      </c>
      <c r="G24" s="10">
        <v>564119</v>
      </c>
      <c r="H24" s="10">
        <v>728700</v>
      </c>
      <c r="I24" s="17">
        <f>H24*1.29</f>
        <v>940023</v>
      </c>
      <c r="J24" s="17">
        <f t="shared" ref="J24:T24" si="0">I24*1.29</f>
        <v>1212629.67</v>
      </c>
      <c r="K24" s="17">
        <f t="shared" si="0"/>
        <v>1564292.2742999999</v>
      </c>
      <c r="L24" s="17">
        <f t="shared" si="0"/>
        <v>2017937.033847</v>
      </c>
      <c r="M24" s="17">
        <f t="shared" si="0"/>
        <v>2603138.77366263</v>
      </c>
      <c r="N24" s="17">
        <f t="shared" si="0"/>
        <v>3358049.0180247929</v>
      </c>
      <c r="O24" s="17">
        <f t="shared" si="0"/>
        <v>4331883.2332519833</v>
      </c>
      <c r="P24" s="17">
        <f t="shared" si="0"/>
        <v>5588129.3708950588</v>
      </c>
      <c r="Q24" s="17"/>
      <c r="R24" s="17"/>
      <c r="S24" s="17"/>
      <c r="T24" s="17"/>
    </row>
    <row r="25" spans="4:35" x14ac:dyDescent="0.45">
      <c r="E25" s="10" t="s">
        <v>44</v>
      </c>
      <c r="F25" s="10">
        <v>-37391</v>
      </c>
      <c r="G25" s="10">
        <v>-58987</v>
      </c>
      <c r="H25" s="10">
        <v>13280</v>
      </c>
      <c r="I25" s="10">
        <f>H25*1.29</f>
        <v>17131.2</v>
      </c>
      <c r="J25" s="10">
        <f t="shared" ref="J25:AI25" si="1">I25*1.29</f>
        <v>22099.248000000003</v>
      </c>
      <c r="K25" s="10">
        <f t="shared" si="1"/>
        <v>28508.029920000004</v>
      </c>
      <c r="L25" s="10">
        <f t="shared" si="1"/>
        <v>36775.358596800004</v>
      </c>
      <c r="M25" s="10">
        <f t="shared" si="1"/>
        <v>47440.212589872004</v>
      </c>
      <c r="N25" s="10">
        <f t="shared" si="1"/>
        <v>61197.874240934885</v>
      </c>
      <c r="O25" s="10">
        <f t="shared" si="1"/>
        <v>78945.257770805998</v>
      </c>
      <c r="P25" s="10">
        <f t="shared" si="1"/>
        <v>101839.38252433974</v>
      </c>
      <c r="Q25" s="10">
        <f t="shared" si="1"/>
        <v>131372.80345639828</v>
      </c>
      <c r="R25" s="10">
        <f t="shared" si="1"/>
        <v>169470.91645875378</v>
      </c>
      <c r="S25" s="10">
        <f t="shared" si="1"/>
        <v>218617.48223179238</v>
      </c>
      <c r="T25" s="10">
        <f t="shared" si="1"/>
        <v>282016.55207901221</v>
      </c>
      <c r="U25" s="10">
        <f t="shared" si="1"/>
        <v>363801.35218192579</v>
      </c>
      <c r="V25" s="10">
        <f t="shared" si="1"/>
        <v>469303.7443146843</v>
      </c>
      <c r="W25" s="10">
        <f t="shared" si="1"/>
        <v>605401.83016594278</v>
      </c>
      <c r="X25" s="10">
        <f t="shared" si="1"/>
        <v>780968.3609140662</v>
      </c>
      <c r="Y25" s="10">
        <f t="shared" si="1"/>
        <v>1007449.1855791454</v>
      </c>
      <c r="Z25" s="10">
        <f t="shared" si="1"/>
        <v>1299609.4493970976</v>
      </c>
      <c r="AA25" s="10">
        <f t="shared" si="1"/>
        <v>1676496.1897222558</v>
      </c>
      <c r="AB25" s="10">
        <f t="shared" si="1"/>
        <v>2162680.0847417102</v>
      </c>
      <c r="AC25" s="10">
        <f t="shared" si="1"/>
        <v>2789857.309316806</v>
      </c>
      <c r="AD25" s="10">
        <f t="shared" si="1"/>
        <v>3598915.92901868</v>
      </c>
      <c r="AE25" s="10">
        <f t="shared" si="1"/>
        <v>4642601.5484340973</v>
      </c>
      <c r="AF25" s="10">
        <f t="shared" si="1"/>
        <v>5988955.9974799855</v>
      </c>
      <c r="AG25" s="10">
        <f t="shared" si="1"/>
        <v>7725753.2367491815</v>
      </c>
      <c r="AH25" s="10">
        <f t="shared" si="1"/>
        <v>9966221.6754064448</v>
      </c>
      <c r="AI25" s="10">
        <f t="shared" si="1"/>
        <v>12856425.961274315</v>
      </c>
    </row>
    <row r="27" spans="4:35" x14ac:dyDescent="0.45">
      <c r="E27" s="18">
        <v>2021</v>
      </c>
      <c r="F27" s="18">
        <v>2022</v>
      </c>
      <c r="G27" s="18">
        <v>2023</v>
      </c>
    </row>
    <row r="28" spans="4:35" x14ac:dyDescent="0.45">
      <c r="D28" t="s">
        <v>60</v>
      </c>
      <c r="E28" s="10">
        <v>3393</v>
      </c>
      <c r="F28" s="10">
        <v>6038</v>
      </c>
      <c r="G28" s="10">
        <v>97101</v>
      </c>
      <c r="I28" s="10" t="s">
        <v>66</v>
      </c>
      <c r="J28" s="10">
        <f>NPV(6%,I25:ZZ25)</f>
        <v>14878359.241473895</v>
      </c>
    </row>
    <row r="29" spans="4:35" x14ac:dyDescent="0.45">
      <c r="D29" t="s">
        <v>61</v>
      </c>
      <c r="E29" s="10">
        <v>-56309</v>
      </c>
      <c r="F29" s="10">
        <v>-104161</v>
      </c>
      <c r="G29" s="10">
        <v>-138806</v>
      </c>
      <c r="I29" s="10" t="s">
        <v>67</v>
      </c>
    </row>
    <row r="30" spans="4:35" x14ac:dyDescent="0.45">
      <c r="D30" t="s">
        <v>62</v>
      </c>
      <c r="E30" s="10">
        <v>143152</v>
      </c>
      <c r="F30" s="10">
        <v>-3084</v>
      </c>
      <c r="G30" s="10">
        <v>335008</v>
      </c>
    </row>
    <row r="31" spans="4:35" x14ac:dyDescent="0.45">
      <c r="D31" t="s">
        <v>63</v>
      </c>
      <c r="E31" s="10">
        <v>-56309</v>
      </c>
      <c r="F31" s="10">
        <v>-104161</v>
      </c>
      <c r="G31" s="10">
        <v>-138806</v>
      </c>
      <c r="I31" s="10" t="s">
        <v>68</v>
      </c>
      <c r="L31" s="10" t="s">
        <v>70</v>
      </c>
    </row>
    <row r="32" spans="4:35" x14ac:dyDescent="0.45">
      <c r="D32" t="s">
        <v>64</v>
      </c>
      <c r="E32" s="10">
        <f>E28+E31</f>
        <v>-52916</v>
      </c>
      <c r="F32" s="10">
        <f>F28+F31</f>
        <v>-98123</v>
      </c>
      <c r="G32" s="10">
        <f>G28+G31</f>
        <v>-41705</v>
      </c>
      <c r="I32" s="10" t="s">
        <v>69</v>
      </c>
      <c r="L32" s="10" t="s">
        <v>71</v>
      </c>
    </row>
    <row r="33" spans="4:7" x14ac:dyDescent="0.45">
      <c r="D33" t="s">
        <v>65</v>
      </c>
      <c r="E33" s="10">
        <f>SUM(E28:E30)</f>
        <v>90236</v>
      </c>
      <c r="F33" s="10">
        <f>SUM(F28:F30)</f>
        <v>-101207</v>
      </c>
      <c r="G33" s="10">
        <f>SUM(G28:G30)</f>
        <v>293303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CAVA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2024-11-23T18:01:53Z</dcterms:modified>
</cp:coreProperties>
</file>