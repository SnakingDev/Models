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807265685c9c5407/Ambiente de Trabalho/Market Theory/Stock Research/NESN - Nestle/"/>
    </mc:Choice>
  </mc:AlternateContent>
  <xr:revisionPtr revIDLastSave="401" documentId="11_AD4DF034E34935FBC521DCE2FF5B45405ADEDD89" xr6:coauthVersionLast="47" xr6:coauthVersionMax="47" xr10:uidLastSave="{5EDB02FD-F006-4EF6-9725-9E37D2E22E75}"/>
  <bookViews>
    <workbookView xWindow="-98" yWindow="-98" windowWidth="20715" windowHeight="13155" activeTab="2" xr2:uid="{00000000-000D-0000-FFFF-FFFF00000000}"/>
  </bookViews>
  <sheets>
    <sheet name="NESN" sheetId="1" r:id="rId1"/>
    <sheet name="Balance Sheet" sheetId="2" r:id="rId2"/>
    <sheet name="DCF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4" l="1"/>
  <c r="AR34" i="4"/>
  <c r="AS34" i="4" s="1"/>
  <c r="AT34" i="4" s="1"/>
  <c r="AU34" i="4" s="1"/>
  <c r="AV34" i="4" s="1"/>
  <c r="AW34" i="4" s="1"/>
  <c r="AX34" i="4" s="1"/>
  <c r="AY34" i="4" s="1"/>
  <c r="AZ34" i="4" s="1"/>
  <c r="BA34" i="4" s="1"/>
  <c r="BB34" i="4" s="1"/>
  <c r="BC34" i="4" s="1"/>
  <c r="BD34" i="4" s="1"/>
  <c r="BE34" i="4" s="1"/>
  <c r="BF34" i="4" s="1"/>
  <c r="BG34" i="4" s="1"/>
  <c r="BH34" i="4" s="1"/>
  <c r="BI34" i="4" s="1"/>
  <c r="BJ34" i="4" s="1"/>
  <c r="BK34" i="4" s="1"/>
  <c r="BL34" i="4" s="1"/>
  <c r="BM34" i="4" s="1"/>
  <c r="BN34" i="4" s="1"/>
  <c r="BO34" i="4" s="1"/>
  <c r="BP34" i="4" s="1"/>
  <c r="BQ34" i="4" s="1"/>
  <c r="BR34" i="4" s="1"/>
  <c r="BS34" i="4" s="1"/>
  <c r="BT34" i="4" s="1"/>
  <c r="BU34" i="4" s="1"/>
  <c r="BV34" i="4" s="1"/>
  <c r="BW34" i="4" s="1"/>
  <c r="BX34" i="4" s="1"/>
  <c r="BY34" i="4" s="1"/>
  <c r="BZ34" i="4" s="1"/>
  <c r="CA34" i="4" s="1"/>
  <c r="CB34" i="4" s="1"/>
  <c r="CC34" i="4" s="1"/>
  <c r="CD34" i="4" s="1"/>
  <c r="CE34" i="4" s="1"/>
  <c r="CF34" i="4" s="1"/>
  <c r="CG34" i="4" s="1"/>
  <c r="CH34" i="4" s="1"/>
  <c r="CI34" i="4" s="1"/>
  <c r="L34" i="4"/>
  <c r="M34" i="4" s="1"/>
  <c r="N34" i="4" s="1"/>
  <c r="O34" i="4" s="1"/>
  <c r="P34" i="4" s="1"/>
  <c r="Q34" i="4" s="1"/>
  <c r="R34" i="4" s="1"/>
  <c r="S34" i="4" s="1"/>
  <c r="T34" i="4" s="1"/>
  <c r="U34" i="4" s="1"/>
  <c r="V34" i="4" s="1"/>
  <c r="W34" i="4" s="1"/>
  <c r="X34" i="4" s="1"/>
  <c r="Y34" i="4" s="1"/>
  <c r="Z34" i="4" s="1"/>
  <c r="AA34" i="4" s="1"/>
  <c r="AB34" i="4" s="1"/>
  <c r="AC34" i="4" s="1"/>
  <c r="AD34" i="4" s="1"/>
  <c r="AE34" i="4" s="1"/>
  <c r="AF34" i="4" s="1"/>
  <c r="AG34" i="4" s="1"/>
  <c r="AH34" i="4" s="1"/>
  <c r="AI34" i="4" s="1"/>
  <c r="AJ34" i="4" s="1"/>
  <c r="AK34" i="4" s="1"/>
  <c r="AL34" i="4" s="1"/>
  <c r="AM34" i="4" s="1"/>
  <c r="AN34" i="4" s="1"/>
  <c r="AO34" i="4" s="1"/>
  <c r="AP34" i="4" s="1"/>
  <c r="AQ34" i="4" s="1"/>
  <c r="K34" i="4"/>
  <c r="E40" i="4"/>
  <c r="E38" i="4"/>
  <c r="F38" i="4"/>
  <c r="G38" i="4"/>
  <c r="H38" i="4"/>
  <c r="I38" i="4"/>
  <c r="J38" i="4"/>
  <c r="J35" i="4"/>
  <c r="I35" i="4"/>
  <c r="H35" i="4"/>
  <c r="G35" i="4"/>
  <c r="F35" i="4"/>
  <c r="E35" i="4"/>
  <c r="D35" i="4"/>
  <c r="J34" i="4"/>
  <c r="I34" i="4"/>
  <c r="H34" i="4"/>
  <c r="G34" i="4"/>
  <c r="F34" i="4"/>
  <c r="E34" i="4"/>
  <c r="D34" i="4"/>
  <c r="N24" i="4"/>
  <c r="AH20" i="4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AG20" i="4"/>
  <c r="N20" i="4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M20" i="4"/>
  <c r="H25" i="4"/>
  <c r="E22" i="4"/>
  <c r="F22" i="4"/>
  <c r="G22" i="4"/>
  <c r="H22" i="4"/>
  <c r="I22" i="4"/>
  <c r="J22" i="4"/>
  <c r="K22" i="4"/>
  <c r="L22" i="4"/>
  <c r="I5" i="4"/>
  <c r="D5" i="4"/>
  <c r="D6" i="4" s="1"/>
  <c r="E5" i="4"/>
  <c r="E6" i="4" s="1"/>
  <c r="F5" i="4"/>
  <c r="F6" i="4" s="1"/>
  <c r="H5" i="4"/>
  <c r="H6" i="4" s="1"/>
  <c r="G5" i="4"/>
  <c r="G6" i="4" s="1"/>
  <c r="I6" i="4"/>
  <c r="H13" i="4"/>
  <c r="L7" i="2"/>
  <c r="L5" i="2"/>
  <c r="L3" i="2"/>
  <c r="F5" i="1"/>
  <c r="F8" i="1" s="1"/>
</calcChain>
</file>

<file path=xl/sharedStrings.xml><?xml version="1.0" encoding="utf-8"?>
<sst xmlns="http://schemas.openxmlformats.org/spreadsheetml/2006/main" count="66" uniqueCount="62">
  <si>
    <t>Price</t>
  </si>
  <si>
    <t>Ticker</t>
  </si>
  <si>
    <t>S O/s</t>
  </si>
  <si>
    <t>MC</t>
  </si>
  <si>
    <t>Cash</t>
  </si>
  <si>
    <t>Debt</t>
  </si>
  <si>
    <t>EV</t>
  </si>
  <si>
    <t>NESN</t>
  </si>
  <si>
    <t>Assets</t>
  </si>
  <si>
    <t>Non-Current Assets</t>
  </si>
  <si>
    <t>Liquidability (%)</t>
  </si>
  <si>
    <t>PPE</t>
  </si>
  <si>
    <t>Goodwill</t>
  </si>
  <si>
    <t>Intangible Assets</t>
  </si>
  <si>
    <t>Investments in associates and joint ventures</t>
  </si>
  <si>
    <t>Financial assets</t>
  </si>
  <si>
    <t>Derivative assets</t>
  </si>
  <si>
    <t>Employee benefits assets and reimbursement rights</t>
  </si>
  <si>
    <t>Deferred tax assets</t>
  </si>
  <si>
    <t>Current Assets</t>
  </si>
  <si>
    <t>Inventories</t>
  </si>
  <si>
    <t>Prepayments</t>
  </si>
  <si>
    <t>Assets held for sale</t>
  </si>
  <si>
    <t>Trade and other accounts receivable</t>
  </si>
  <si>
    <t>Current income tax assets</t>
  </si>
  <si>
    <t>Short-term investments</t>
  </si>
  <si>
    <t>Cash and cash equivalents</t>
  </si>
  <si>
    <t>Asset Liquidation Value</t>
  </si>
  <si>
    <t>Company Liquidation Value</t>
  </si>
  <si>
    <t>Total Liabilities</t>
  </si>
  <si>
    <t>Market Capitalization</t>
  </si>
  <si>
    <t>Liquidation Value</t>
  </si>
  <si>
    <t>H122</t>
  </si>
  <si>
    <t>H222</t>
  </si>
  <si>
    <t>H123</t>
  </si>
  <si>
    <t>H223</t>
  </si>
  <si>
    <t>H124</t>
  </si>
  <si>
    <t>H224</t>
  </si>
  <si>
    <t>Revenue</t>
  </si>
  <si>
    <t>COGS</t>
  </si>
  <si>
    <t>Gross Profit</t>
  </si>
  <si>
    <t>Gross Profit Margin</t>
  </si>
  <si>
    <t>Operating Expenses</t>
  </si>
  <si>
    <t>Selling, general and administrative expenses</t>
  </si>
  <si>
    <t>Research &amp; Development expenses</t>
  </si>
  <si>
    <t>Other expenses</t>
  </si>
  <si>
    <t>EBIT</t>
  </si>
  <si>
    <t>Other income expenses</t>
  </si>
  <si>
    <t>EBT</t>
  </si>
  <si>
    <t>Income tax expense</t>
  </si>
  <si>
    <t>NI</t>
  </si>
  <si>
    <t>Net Income</t>
  </si>
  <si>
    <t>DCF</t>
  </si>
  <si>
    <t>average net income change</t>
  </si>
  <si>
    <t>discount rate 8%</t>
  </si>
  <si>
    <t>pretty fairly valued</t>
  </si>
  <si>
    <t>Operating CF</t>
  </si>
  <si>
    <t>Investing CF</t>
  </si>
  <si>
    <t>Financing CF</t>
  </si>
  <si>
    <t>Capital Expenditure</t>
  </si>
  <si>
    <t>FCF</t>
  </si>
  <si>
    <t>Change in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</si>
</sst>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43" formatCode="_-* #,##0.00_-;\-* #,##0.00_-;_-* &quot;-&quot;??_-;_-@_-"/>
    <numFmt numFmtId="164" formatCode="_-* #,##0.0_-;\-* #,##0.0_-;_-* &quot;-&quot;??_-;_-@_-"/>
    <numFmt numFmtId="165" formatCode="_-* #,##0.0\ _€_-;\-* #,##0.0\ _€_-;_-* &quot;-&quot;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darkGray">
        <fgColor indexed="21"/>
        <bgColor indexed="17"/>
      </patternFill>
    </fill>
    <fill>
      <patternFill patternType="solid">
        <fgColor indexed="42"/>
        <bgColor indexed="24"/>
      </patternFill>
    </fill>
  </fills>
  <borders count="3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ck">
        <color indexed="2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1" applyNumberFormat="1" applyFont="1"/>
    <xf numFmtId="0" fontId="4" fillId="3" borderId="0" xfId="0" applyFont="1" applyFill="1" applyAlignment="1">
      <alignment horizontal="left"/>
    </xf>
    <xf numFmtId="164" fontId="3" fillId="4" borderId="0" xfId="1" applyNumberFormat="1" applyFont="1" applyFill="1" applyBorder="1" applyAlignment="1"/>
    <xf numFmtId="0" fontId="3" fillId="4" borderId="0" xfId="0" applyFont="1" applyFill="1" applyAlignment="1">
      <alignment horizontal="left"/>
    </xf>
    <xf numFmtId="164" fontId="3" fillId="2" borderId="1" xfId="1" applyNumberFormat="1" applyFont="1" applyFill="1" applyBorder="1" applyAlignment="1"/>
    <xf numFmtId="0" fontId="5" fillId="2" borderId="1" xfId="0" applyFont="1" applyFill="1" applyBorder="1" applyAlignment="1">
      <alignment horizontal="left"/>
    </xf>
    <xf numFmtId="0" fontId="4" fillId="3" borderId="0" xfId="0" applyFont="1" applyFill="1" applyAlignment="1">
      <alignment horizontal="center"/>
    </xf>
    <xf numFmtId="0" fontId="5" fillId="2" borderId="2" xfId="0" applyFont="1" applyFill="1" applyBorder="1" applyAlignment="1">
      <alignment horizontal="left"/>
    </xf>
    <xf numFmtId="164" fontId="3" fillId="2" borderId="2" xfId="1" applyNumberFormat="1" applyFont="1" applyFill="1" applyBorder="1" applyAlignment="1"/>
    <xf numFmtId="0" fontId="2" fillId="0" borderId="0" xfId="0" applyFont="1"/>
    <xf numFmtId="0" fontId="6" fillId="0" borderId="0" xfId="0" applyFont="1"/>
    <xf numFmtId="9" fontId="0" fillId="0" borderId="0" xfId="0" applyNumberFormat="1"/>
    <xf numFmtId="165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8" fontId="0" fillId="0" borderId="0" xfId="0" applyNumberFormat="1"/>
    <xf numFmtId="43" fontId="2" fillId="0" borderId="0" xfId="1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F9"/>
  <sheetViews>
    <sheetView workbookViewId="0">
      <selection activeCell="F12" sqref="F12"/>
    </sheetView>
  </sheetViews>
  <sheetFormatPr defaultRowHeight="14.25" x14ac:dyDescent="0.45"/>
  <cols>
    <col min="5" max="5" width="5.53125" bestFit="1" customWidth="1"/>
    <col min="6" max="6" width="9.86328125" bestFit="1" customWidth="1"/>
  </cols>
  <sheetData>
    <row r="2" spans="5:6" x14ac:dyDescent="0.45">
      <c r="E2" s="2" t="s">
        <v>1</v>
      </c>
      <c r="F2" s="7" t="s">
        <v>7</v>
      </c>
    </row>
    <row r="3" spans="5:6" x14ac:dyDescent="0.45">
      <c r="E3" s="4" t="s">
        <v>0</v>
      </c>
      <c r="F3" s="3">
        <v>70</v>
      </c>
    </row>
    <row r="4" spans="5:6" x14ac:dyDescent="0.45">
      <c r="E4" s="4" t="s">
        <v>2</v>
      </c>
      <c r="F4" s="3">
        <v>2707</v>
      </c>
    </row>
    <row r="5" spans="5:6" x14ac:dyDescent="0.45">
      <c r="E5" s="6" t="s">
        <v>3</v>
      </c>
      <c r="F5" s="5">
        <f>F3*F4</f>
        <v>189490</v>
      </c>
    </row>
    <row r="6" spans="5:6" x14ac:dyDescent="0.45">
      <c r="E6" s="6" t="s">
        <v>4</v>
      </c>
      <c r="F6" s="5">
        <v>4816</v>
      </c>
    </row>
    <row r="7" spans="5:6" x14ac:dyDescent="0.45">
      <c r="E7" s="6" t="s">
        <v>5</v>
      </c>
      <c r="F7" s="5">
        <v>90163</v>
      </c>
    </row>
    <row r="8" spans="5:6" ht="14.65" thickBot="1" x14ac:dyDescent="0.5">
      <c r="E8" s="8" t="s">
        <v>6</v>
      </c>
      <c r="F8" s="9">
        <f>F5-F6+F7</f>
        <v>274837</v>
      </c>
    </row>
    <row r="9" spans="5:6" ht="14.65" thickTop="1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C03F-F7D1-4817-807C-E1454A611763}">
  <dimension ref="E3:L21"/>
  <sheetViews>
    <sheetView topLeftCell="C1" workbookViewId="0">
      <selection activeCell="L8" sqref="L8"/>
    </sheetView>
  </sheetViews>
  <sheetFormatPr defaultRowHeight="14.25" x14ac:dyDescent="0.45"/>
  <cols>
    <col min="5" max="5" width="41.796875" bestFit="1" customWidth="1"/>
    <col min="6" max="6" width="9.86328125" bestFit="1" customWidth="1"/>
    <col min="7" max="7" width="13.46484375" bestFit="1" customWidth="1"/>
    <col min="11" max="11" width="22.3984375" bestFit="1" customWidth="1"/>
    <col min="12" max="12" width="10.33203125" bestFit="1" customWidth="1"/>
  </cols>
  <sheetData>
    <row r="3" spans="5:12" x14ac:dyDescent="0.45">
      <c r="E3" s="17" t="s">
        <v>8</v>
      </c>
      <c r="F3" s="17"/>
      <c r="G3" t="s">
        <v>10</v>
      </c>
      <c r="K3" s="10" t="s">
        <v>27</v>
      </c>
      <c r="L3" s="13">
        <f>F9*0.8+F10*0.2+F12+F14*0.8+F15+F16*0.8+F17*0.8+F18*0.2+F19+F21+F20</f>
        <v>29614.6</v>
      </c>
    </row>
    <row r="4" spans="5:12" x14ac:dyDescent="0.45">
      <c r="E4" s="11" t="s">
        <v>9</v>
      </c>
      <c r="K4" t="s">
        <v>29</v>
      </c>
      <c r="L4" s="1">
        <v>90163</v>
      </c>
    </row>
    <row r="5" spans="5:12" x14ac:dyDescent="0.45">
      <c r="E5" t="s">
        <v>11</v>
      </c>
      <c r="F5" s="1">
        <v>30467</v>
      </c>
      <c r="G5" s="12">
        <v>0</v>
      </c>
      <c r="K5" t="s">
        <v>28</v>
      </c>
      <c r="L5" s="1">
        <f>L3-L4</f>
        <v>-60548.4</v>
      </c>
    </row>
    <row r="6" spans="5:12" x14ac:dyDescent="0.45">
      <c r="E6" t="s">
        <v>12</v>
      </c>
      <c r="F6" s="1">
        <v>28693</v>
      </c>
      <c r="G6" s="12">
        <v>0</v>
      </c>
      <c r="K6" t="s">
        <v>30</v>
      </c>
      <c r="L6" s="1">
        <v>189490</v>
      </c>
    </row>
    <row r="7" spans="5:12" x14ac:dyDescent="0.45">
      <c r="E7" t="s">
        <v>13</v>
      </c>
      <c r="F7" s="1">
        <v>18225</v>
      </c>
      <c r="G7" s="12">
        <v>0</v>
      </c>
      <c r="K7" s="10" t="s">
        <v>31</v>
      </c>
      <c r="L7" s="1">
        <f>L6-L5</f>
        <v>250038.39999999999</v>
      </c>
    </row>
    <row r="8" spans="5:12" x14ac:dyDescent="0.45">
      <c r="E8" t="s">
        <v>14</v>
      </c>
      <c r="F8" s="1">
        <v>13088</v>
      </c>
      <c r="G8" s="12">
        <v>0</v>
      </c>
    </row>
    <row r="9" spans="5:12" x14ac:dyDescent="0.45">
      <c r="E9" t="s">
        <v>15</v>
      </c>
      <c r="F9" s="1">
        <v>2947</v>
      </c>
      <c r="G9" s="12">
        <v>0.8</v>
      </c>
    </row>
    <row r="10" spans="5:12" x14ac:dyDescent="0.45">
      <c r="E10" t="s">
        <v>16</v>
      </c>
      <c r="F10" s="1">
        <v>130</v>
      </c>
      <c r="G10" s="12">
        <v>0.2</v>
      </c>
    </row>
    <row r="11" spans="5:12" x14ac:dyDescent="0.45">
      <c r="E11" t="s">
        <v>17</v>
      </c>
      <c r="F11" s="1">
        <v>962</v>
      </c>
      <c r="G11" s="12">
        <v>0</v>
      </c>
    </row>
    <row r="12" spans="5:12" x14ac:dyDescent="0.45">
      <c r="E12" t="s">
        <v>18</v>
      </c>
      <c r="F12" s="1">
        <v>1181</v>
      </c>
      <c r="G12" s="12">
        <v>1</v>
      </c>
    </row>
    <row r="13" spans="5:12" x14ac:dyDescent="0.45">
      <c r="E13" s="11" t="s">
        <v>19</v>
      </c>
      <c r="F13" s="1"/>
      <c r="G13" s="12"/>
    </row>
    <row r="14" spans="5:12" x14ac:dyDescent="0.45">
      <c r="E14" t="s">
        <v>20</v>
      </c>
      <c r="F14" s="1">
        <v>11896</v>
      </c>
      <c r="G14" s="12">
        <v>0.8</v>
      </c>
    </row>
    <row r="15" spans="5:12" x14ac:dyDescent="0.45">
      <c r="E15" t="s">
        <v>21</v>
      </c>
      <c r="F15" s="1">
        <v>521</v>
      </c>
      <c r="G15" s="12">
        <v>1</v>
      </c>
    </row>
    <row r="16" spans="5:12" x14ac:dyDescent="0.45">
      <c r="E16" t="s">
        <v>22</v>
      </c>
      <c r="F16" s="1">
        <v>32</v>
      </c>
      <c r="G16" s="12">
        <v>0.8</v>
      </c>
    </row>
    <row r="17" spans="5:7" x14ac:dyDescent="0.45">
      <c r="E17" t="s">
        <v>23</v>
      </c>
      <c r="F17" s="1">
        <v>10995</v>
      </c>
      <c r="G17" s="12">
        <v>0.8</v>
      </c>
    </row>
    <row r="18" spans="5:7" x14ac:dyDescent="0.45">
      <c r="E18" t="s">
        <v>16</v>
      </c>
      <c r="F18" s="1">
        <v>278</v>
      </c>
      <c r="G18" s="12">
        <v>0.2</v>
      </c>
    </row>
    <row r="19" spans="5:7" x14ac:dyDescent="0.45">
      <c r="E19" t="s">
        <v>24</v>
      </c>
      <c r="F19" s="1">
        <v>1284</v>
      </c>
      <c r="G19" s="12">
        <v>1</v>
      </c>
    </row>
    <row r="20" spans="5:7" x14ac:dyDescent="0.45">
      <c r="E20" t="s">
        <v>25</v>
      </c>
      <c r="F20" s="1">
        <v>1035</v>
      </c>
      <c r="G20" s="12">
        <v>1</v>
      </c>
    </row>
    <row r="21" spans="5:7" x14ac:dyDescent="0.45">
      <c r="E21" t="s">
        <v>26</v>
      </c>
      <c r="F21" s="1">
        <v>4816</v>
      </c>
      <c r="G21" s="12">
        <v>1</v>
      </c>
    </row>
  </sheetData>
  <mergeCells count="1">
    <mergeCell ref="E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EF5A-1425-41C2-9C10-9DA9BF655989}">
  <dimension ref="A2:CI40"/>
  <sheetViews>
    <sheetView tabSelected="1" topLeftCell="A9" workbookViewId="0">
      <selection activeCell="M41" sqref="M41"/>
    </sheetView>
  </sheetViews>
  <sheetFormatPr defaultRowHeight="14.25" x14ac:dyDescent="0.45"/>
  <cols>
    <col min="3" max="3" width="35.86328125" bestFit="1" customWidth="1"/>
  </cols>
  <sheetData>
    <row r="2" spans="1:9" x14ac:dyDescent="0.45"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</row>
    <row r="3" spans="1:9" s="10" customFormat="1" x14ac:dyDescent="0.45">
      <c r="A3"/>
      <c r="B3"/>
      <c r="C3" s="10" t="s">
        <v>38</v>
      </c>
      <c r="D3" s="10">
        <v>45.58</v>
      </c>
      <c r="E3" s="10">
        <v>48.84</v>
      </c>
      <c r="F3" s="10">
        <v>46.29</v>
      </c>
      <c r="G3" s="10">
        <v>46.71</v>
      </c>
      <c r="H3" s="10">
        <v>45.23</v>
      </c>
    </row>
    <row r="4" spans="1:9" x14ac:dyDescent="0.45">
      <c r="C4" t="s">
        <v>39</v>
      </c>
      <c r="D4">
        <v>24.63</v>
      </c>
      <c r="E4">
        <v>27.11</v>
      </c>
      <c r="F4">
        <v>25.17</v>
      </c>
      <c r="G4">
        <v>25.16</v>
      </c>
      <c r="H4">
        <v>23.79</v>
      </c>
    </row>
    <row r="5" spans="1:9" x14ac:dyDescent="0.45">
      <c r="C5" t="s">
        <v>40</v>
      </c>
      <c r="D5">
        <f t="shared" ref="D5:I5" si="0">D3-D4</f>
        <v>20.95</v>
      </c>
      <c r="E5">
        <f t="shared" si="0"/>
        <v>21.730000000000004</v>
      </c>
      <c r="F5">
        <f t="shared" si="0"/>
        <v>21.119999999999997</v>
      </c>
      <c r="G5">
        <f t="shared" si="0"/>
        <v>21.55</v>
      </c>
      <c r="H5">
        <f t="shared" si="0"/>
        <v>21.439999999999998</v>
      </c>
      <c r="I5">
        <f t="shared" si="0"/>
        <v>0</v>
      </c>
    </row>
    <row r="6" spans="1:9" x14ac:dyDescent="0.45">
      <c r="C6" t="s">
        <v>41</v>
      </c>
      <c r="D6" s="14">
        <f t="shared" ref="D6:I6" si="1">D5/D3</f>
        <v>0.45963141728828433</v>
      </c>
      <c r="E6" s="14">
        <f t="shared" si="1"/>
        <v>0.44492219492219498</v>
      </c>
      <c r="F6" s="14">
        <f t="shared" si="1"/>
        <v>0.45625405055087487</v>
      </c>
      <c r="G6" s="14">
        <f t="shared" si="1"/>
        <v>0.46135731106829375</v>
      </c>
      <c r="H6" s="14">
        <f>H5/H3</f>
        <v>0.47402166703515364</v>
      </c>
      <c r="I6" s="14" t="e">
        <f t="shared" si="1"/>
        <v>#DIV/0!</v>
      </c>
    </row>
    <row r="7" spans="1:9" x14ac:dyDescent="0.45">
      <c r="C7" t="s">
        <v>42</v>
      </c>
      <c r="D7">
        <v>13.33</v>
      </c>
      <c r="E7">
        <v>13.4</v>
      </c>
      <c r="F7">
        <v>13.26</v>
      </c>
      <c r="G7">
        <v>13.39</v>
      </c>
      <c r="H7">
        <v>13.99</v>
      </c>
    </row>
    <row r="8" spans="1:9" x14ac:dyDescent="0.45">
      <c r="C8" t="s">
        <v>43</v>
      </c>
      <c r="D8">
        <v>12.63</v>
      </c>
      <c r="E8">
        <v>12.6</v>
      </c>
      <c r="F8">
        <v>12.59</v>
      </c>
      <c r="G8">
        <v>12.72</v>
      </c>
      <c r="H8">
        <v>12.77</v>
      </c>
    </row>
    <row r="9" spans="1:9" x14ac:dyDescent="0.45">
      <c r="C9" t="s">
        <v>44</v>
      </c>
      <c r="D9">
        <v>0.80800000000000005</v>
      </c>
      <c r="E9">
        <v>0.88800000000000001</v>
      </c>
      <c r="F9">
        <v>0.81</v>
      </c>
      <c r="G9">
        <v>0.84599999999999997</v>
      </c>
      <c r="H9">
        <v>0.83</v>
      </c>
    </row>
    <row r="10" spans="1:9" x14ac:dyDescent="0.45">
      <c r="C10" t="s">
        <v>45</v>
      </c>
      <c r="D10">
        <v>0.11700000000000001</v>
      </c>
      <c r="E10">
        <v>9.4E-2</v>
      </c>
      <c r="F10">
        <v>0.14000000000000001</v>
      </c>
      <c r="G10">
        <v>0.17799999999999999</v>
      </c>
      <c r="H10">
        <v>0.93</v>
      </c>
    </row>
    <row r="11" spans="1:9" x14ac:dyDescent="0.45">
      <c r="C11" s="10" t="s">
        <v>46</v>
      </c>
      <c r="D11" s="10">
        <v>7.62</v>
      </c>
      <c r="E11" s="10">
        <v>8.34</v>
      </c>
      <c r="F11" s="10">
        <v>7.86</v>
      </c>
      <c r="G11" s="10">
        <v>8.16</v>
      </c>
      <c r="H11" s="10">
        <v>7.45</v>
      </c>
    </row>
    <row r="12" spans="1:9" x14ac:dyDescent="0.45">
      <c r="C12" t="s">
        <v>47</v>
      </c>
      <c r="D12">
        <v>-1.44</v>
      </c>
      <c r="E12">
        <v>-3.24</v>
      </c>
      <c r="F12">
        <v>1.3</v>
      </c>
      <c r="G12">
        <v>-2.02</v>
      </c>
      <c r="H12">
        <v>-0.74399999999999999</v>
      </c>
    </row>
    <row r="13" spans="1:9" x14ac:dyDescent="0.45">
      <c r="C13" t="s">
        <v>48</v>
      </c>
      <c r="D13">
        <v>6.19</v>
      </c>
      <c r="E13">
        <v>5.0999999999999996</v>
      </c>
      <c r="F13">
        <v>6.57</v>
      </c>
      <c r="G13">
        <v>6.14</v>
      </c>
      <c r="H13" s="14">
        <f>H11+H12</f>
        <v>6.7060000000000004</v>
      </c>
    </row>
    <row r="14" spans="1:9" x14ac:dyDescent="0.45">
      <c r="C14" t="s">
        <v>49</v>
      </c>
      <c r="D14">
        <v>1.5</v>
      </c>
      <c r="E14">
        <v>1.23</v>
      </c>
      <c r="F14">
        <v>1.53</v>
      </c>
      <c r="G14">
        <v>0.78500000000000003</v>
      </c>
      <c r="H14">
        <v>1.68</v>
      </c>
    </row>
    <row r="15" spans="1:9" s="10" customFormat="1" x14ac:dyDescent="0.45">
      <c r="A15"/>
      <c r="B15"/>
      <c r="C15" s="10" t="s">
        <v>50</v>
      </c>
      <c r="D15" s="10">
        <v>5.25</v>
      </c>
      <c r="E15" s="10">
        <v>4.0199999999999996</v>
      </c>
      <c r="F15" s="10">
        <v>5.65</v>
      </c>
      <c r="G15" s="10">
        <v>5.56</v>
      </c>
      <c r="H15" s="15">
        <v>5.64</v>
      </c>
    </row>
    <row r="18" spans="3:65" x14ac:dyDescent="0.45">
      <c r="D18">
        <v>2015</v>
      </c>
      <c r="E18">
        <v>2016</v>
      </c>
      <c r="F18">
        <v>2017</v>
      </c>
      <c r="G18">
        <v>2018</v>
      </c>
      <c r="H18">
        <v>2019</v>
      </c>
      <c r="I18">
        <v>2020</v>
      </c>
      <c r="J18">
        <v>2021</v>
      </c>
      <c r="K18">
        <v>2022</v>
      </c>
      <c r="L18">
        <v>2023</v>
      </c>
      <c r="M18">
        <v>2024</v>
      </c>
    </row>
    <row r="19" spans="3:65" x14ac:dyDescent="0.45">
      <c r="C19" t="s">
        <v>38</v>
      </c>
      <c r="D19">
        <v>88.79</v>
      </c>
      <c r="E19">
        <v>89.47</v>
      </c>
      <c r="F19">
        <v>88.59</v>
      </c>
      <c r="G19">
        <v>91.44</v>
      </c>
      <c r="H19">
        <v>92.57</v>
      </c>
      <c r="I19">
        <v>84.34</v>
      </c>
      <c r="J19">
        <v>87.09</v>
      </c>
      <c r="K19">
        <v>94.42</v>
      </c>
      <c r="L19">
        <v>93</v>
      </c>
    </row>
    <row r="20" spans="3:65" x14ac:dyDescent="0.45">
      <c r="C20" t="s">
        <v>51</v>
      </c>
      <c r="D20">
        <v>9.07</v>
      </c>
      <c r="E20">
        <v>8.5299999999999994</v>
      </c>
      <c r="F20">
        <v>7.16</v>
      </c>
      <c r="G20">
        <v>10.14</v>
      </c>
      <c r="H20">
        <v>12.61</v>
      </c>
      <c r="I20">
        <v>12.23</v>
      </c>
      <c r="J20">
        <v>10.81</v>
      </c>
      <c r="K20">
        <v>11.29</v>
      </c>
      <c r="L20">
        <v>11.21</v>
      </c>
      <c r="M20">
        <f>L20*1.04</f>
        <v>11.658400000000002</v>
      </c>
      <c r="N20">
        <f t="shared" ref="N20:BM20" si="2">M20*1.04</f>
        <v>12.124736000000002</v>
      </c>
      <c r="O20">
        <f t="shared" si="2"/>
        <v>12.609725440000002</v>
      </c>
      <c r="P20">
        <f t="shared" si="2"/>
        <v>13.114114457600003</v>
      </c>
      <c r="Q20">
        <f t="shared" si="2"/>
        <v>13.638679035904003</v>
      </c>
      <c r="R20">
        <f t="shared" si="2"/>
        <v>14.184226197340164</v>
      </c>
      <c r="S20">
        <f t="shared" si="2"/>
        <v>14.751595245233771</v>
      </c>
      <c r="T20">
        <f t="shared" si="2"/>
        <v>15.341659055043122</v>
      </c>
      <c r="U20">
        <f t="shared" si="2"/>
        <v>15.955325417244847</v>
      </c>
      <c r="V20">
        <f t="shared" si="2"/>
        <v>16.59353843393464</v>
      </c>
      <c r="W20">
        <f t="shared" si="2"/>
        <v>17.257279971292025</v>
      </c>
      <c r="X20">
        <f t="shared" si="2"/>
        <v>17.947571170143707</v>
      </c>
      <c r="Y20">
        <f t="shared" si="2"/>
        <v>18.665474016949457</v>
      </c>
      <c r="Z20">
        <f t="shared" si="2"/>
        <v>19.412092977627434</v>
      </c>
      <c r="AA20">
        <f t="shared" si="2"/>
        <v>20.188576696732532</v>
      </c>
      <c r="AB20">
        <f t="shared" si="2"/>
        <v>20.996119764601833</v>
      </c>
      <c r="AC20">
        <f t="shared" si="2"/>
        <v>21.835964555185907</v>
      </c>
      <c r="AD20">
        <f t="shared" si="2"/>
        <v>22.709403137393345</v>
      </c>
      <c r="AE20">
        <f t="shared" si="2"/>
        <v>23.61777926288908</v>
      </c>
      <c r="AF20">
        <f t="shared" si="2"/>
        <v>24.562490433404644</v>
      </c>
      <c r="AG20">
        <f t="shared" si="2"/>
        <v>25.544990050740832</v>
      </c>
      <c r="AH20">
        <f t="shared" si="2"/>
        <v>26.566789652770467</v>
      </c>
      <c r="AI20">
        <f t="shared" si="2"/>
        <v>27.629461238881287</v>
      </c>
      <c r="AJ20">
        <f t="shared" si="2"/>
        <v>28.734639688436541</v>
      </c>
      <c r="AK20">
        <f t="shared" si="2"/>
        <v>29.884025275974004</v>
      </c>
      <c r="AL20">
        <f t="shared" si="2"/>
        <v>31.079386287012966</v>
      </c>
      <c r="AM20">
        <f t="shared" si="2"/>
        <v>32.322561738493484</v>
      </c>
      <c r="AN20">
        <f t="shared" si="2"/>
        <v>33.615464208033224</v>
      </c>
      <c r="AO20">
        <f t="shared" si="2"/>
        <v>34.960082776354554</v>
      </c>
      <c r="AP20">
        <f t="shared" si="2"/>
        <v>36.358486087408735</v>
      </c>
      <c r="AQ20">
        <f t="shared" si="2"/>
        <v>37.812825530905087</v>
      </c>
      <c r="AR20">
        <f t="shared" si="2"/>
        <v>39.325338552141289</v>
      </c>
      <c r="AS20">
        <f t="shared" si="2"/>
        <v>40.898352094226944</v>
      </c>
      <c r="AT20">
        <f t="shared" si="2"/>
        <v>42.534286177996023</v>
      </c>
      <c r="AU20">
        <f t="shared" si="2"/>
        <v>44.235657625115863</v>
      </c>
      <c r="AV20">
        <f t="shared" si="2"/>
        <v>46.005083930120499</v>
      </c>
      <c r="AW20">
        <f t="shared" si="2"/>
        <v>47.84528728732532</v>
      </c>
      <c r="AX20">
        <f t="shared" si="2"/>
        <v>49.759098778818334</v>
      </c>
      <c r="AY20">
        <f t="shared" si="2"/>
        <v>51.749462729971071</v>
      </c>
      <c r="AZ20">
        <f t="shared" si="2"/>
        <v>53.819441239169919</v>
      </c>
      <c r="BA20">
        <f t="shared" si="2"/>
        <v>55.97221888873672</v>
      </c>
      <c r="BB20">
        <f t="shared" si="2"/>
        <v>58.211107644286187</v>
      </c>
      <c r="BC20">
        <f t="shared" si="2"/>
        <v>60.539551950057636</v>
      </c>
      <c r="BD20">
        <f t="shared" si="2"/>
        <v>62.961134028059945</v>
      </c>
      <c r="BE20">
        <f t="shared" si="2"/>
        <v>65.479579389182348</v>
      </c>
      <c r="BF20">
        <f t="shared" si="2"/>
        <v>68.098762564749649</v>
      </c>
      <c r="BG20">
        <f t="shared" si="2"/>
        <v>70.822713067339635</v>
      </c>
      <c r="BH20">
        <f t="shared" si="2"/>
        <v>73.655621590033221</v>
      </c>
      <c r="BI20">
        <f t="shared" si="2"/>
        <v>76.60184645363455</v>
      </c>
      <c r="BJ20">
        <f t="shared" si="2"/>
        <v>79.665920311779942</v>
      </c>
      <c r="BK20">
        <f t="shared" si="2"/>
        <v>82.852557124251149</v>
      </c>
      <c r="BL20">
        <f t="shared" si="2"/>
        <v>86.166659409221197</v>
      </c>
      <c r="BM20">
        <f t="shared" si="2"/>
        <v>89.61332578559005</v>
      </c>
    </row>
    <row r="22" spans="3:65" x14ac:dyDescent="0.45">
      <c r="E22">
        <f t="shared" ref="E22:L22" si="3">(E20-D20)/D20</f>
        <v>-5.9536934950385985E-2</v>
      </c>
      <c r="F22">
        <f t="shared" si="3"/>
        <v>-0.16060961313012886</v>
      </c>
      <c r="G22">
        <f t="shared" si="3"/>
        <v>0.41620111731843579</v>
      </c>
      <c r="H22">
        <f t="shared" si="3"/>
        <v>0.24358974358974347</v>
      </c>
      <c r="I22">
        <f t="shared" si="3"/>
        <v>-3.0134813639968203E-2</v>
      </c>
      <c r="J22">
        <f t="shared" si="3"/>
        <v>-0.11610793131643499</v>
      </c>
      <c r="K22">
        <f t="shared" si="3"/>
        <v>4.4403330249768606E-2</v>
      </c>
      <c r="L22">
        <f t="shared" si="3"/>
        <v>-7.0859167404781487E-3</v>
      </c>
    </row>
    <row r="24" spans="3:65" x14ac:dyDescent="0.45">
      <c r="M24" t="s">
        <v>52</v>
      </c>
      <c r="N24" s="16">
        <f>NPV(8%,M20:ZZ20)</f>
        <v>252.0245407702559</v>
      </c>
    </row>
    <row r="25" spans="3:65" x14ac:dyDescent="0.45">
      <c r="E25" t="s">
        <v>53</v>
      </c>
      <c r="H25">
        <f>AVERAGE(E22:L22)</f>
        <v>4.1339872672568959E-2</v>
      </c>
      <c r="M25" t="s">
        <v>54</v>
      </c>
    </row>
    <row r="27" spans="3:65" x14ac:dyDescent="0.45">
      <c r="M27" t="s">
        <v>55</v>
      </c>
    </row>
    <row r="29" spans="3:65" x14ac:dyDescent="0.45">
      <c r="D29">
        <v>2017</v>
      </c>
      <c r="E29">
        <v>2018</v>
      </c>
      <c r="F29">
        <v>2019</v>
      </c>
      <c r="G29">
        <v>2020</v>
      </c>
      <c r="H29">
        <v>2021</v>
      </c>
      <c r="I29">
        <v>2022</v>
      </c>
      <c r="J29">
        <v>2023</v>
      </c>
    </row>
    <row r="30" spans="3:65" x14ac:dyDescent="0.45">
      <c r="C30" s="10" t="s">
        <v>56</v>
      </c>
      <c r="D30" s="10">
        <v>14.2</v>
      </c>
      <c r="E30" s="10">
        <v>15.4</v>
      </c>
      <c r="F30" s="10">
        <v>15.85</v>
      </c>
      <c r="G30" s="10">
        <v>14.38</v>
      </c>
      <c r="H30" s="10">
        <v>13.86</v>
      </c>
      <c r="I30" s="10">
        <v>11.91</v>
      </c>
      <c r="J30" s="10">
        <v>15.94</v>
      </c>
    </row>
    <row r="31" spans="3:65" x14ac:dyDescent="0.45">
      <c r="C31" t="s">
        <v>57</v>
      </c>
      <c r="D31">
        <v>-4.95</v>
      </c>
      <c r="E31">
        <v>-14.27</v>
      </c>
      <c r="F31">
        <v>8.34</v>
      </c>
      <c r="G31">
        <v>-5.67</v>
      </c>
      <c r="H31">
        <v>-3.65</v>
      </c>
      <c r="I31">
        <v>-2.5099999999999998</v>
      </c>
      <c r="J31">
        <v>-6.2</v>
      </c>
    </row>
    <row r="32" spans="3:65" x14ac:dyDescent="0.45">
      <c r="C32" t="s">
        <v>58</v>
      </c>
      <c r="D32">
        <v>-9.08</v>
      </c>
      <c r="E32">
        <v>-4.12</v>
      </c>
      <c r="F32">
        <v>-21.14</v>
      </c>
      <c r="G32">
        <v>-10.38</v>
      </c>
      <c r="H32">
        <v>-8.5500000000000007</v>
      </c>
      <c r="I32">
        <v>-10.78</v>
      </c>
      <c r="J32">
        <v>-9.76</v>
      </c>
    </row>
    <row r="33" spans="3:87" x14ac:dyDescent="0.45">
      <c r="C33" t="s">
        <v>59</v>
      </c>
      <c r="D33">
        <v>-3.94</v>
      </c>
      <c r="E33">
        <v>-3.87</v>
      </c>
      <c r="F33">
        <v>-4.21</v>
      </c>
      <c r="G33">
        <v>-4.3600000000000003</v>
      </c>
      <c r="H33">
        <v>-5.34</v>
      </c>
      <c r="I33">
        <v>-5.36</v>
      </c>
      <c r="J33">
        <v>-6.2</v>
      </c>
    </row>
    <row r="34" spans="3:87" x14ac:dyDescent="0.45">
      <c r="C34" s="10" t="s">
        <v>60</v>
      </c>
      <c r="D34" s="10">
        <f>D30+D33</f>
        <v>10.26</v>
      </c>
      <c r="E34" s="10">
        <f t="shared" ref="E34:J34" si="4">E30+E33</f>
        <v>11.530000000000001</v>
      </c>
      <c r="F34" s="10">
        <f t="shared" si="4"/>
        <v>11.64</v>
      </c>
      <c r="G34" s="10">
        <f t="shared" si="4"/>
        <v>10.02</v>
      </c>
      <c r="H34" s="10">
        <f t="shared" si="4"/>
        <v>8.52</v>
      </c>
      <c r="I34" s="10">
        <f t="shared" si="4"/>
        <v>6.55</v>
      </c>
      <c r="J34" s="10">
        <f t="shared" si="4"/>
        <v>9.7399999999999984</v>
      </c>
      <c r="K34" s="10">
        <f>J34*1.02</f>
        <v>9.9347999999999992</v>
      </c>
      <c r="L34" s="10">
        <f t="shared" ref="L34:BW34" si="5">K34*1.02</f>
        <v>10.133495999999999</v>
      </c>
      <c r="M34" s="10">
        <f t="shared" si="5"/>
        <v>10.336165919999999</v>
      </c>
      <c r="N34" s="10">
        <f t="shared" si="5"/>
        <v>10.542889238399999</v>
      </c>
      <c r="O34" s="10">
        <f t="shared" si="5"/>
        <v>10.753747023168</v>
      </c>
      <c r="P34" s="10">
        <f t="shared" si="5"/>
        <v>10.96882196363136</v>
      </c>
      <c r="Q34" s="10">
        <f t="shared" si="5"/>
        <v>11.188198402903987</v>
      </c>
      <c r="R34" s="10">
        <f t="shared" si="5"/>
        <v>11.411962370962067</v>
      </c>
      <c r="S34" s="10">
        <f t="shared" si="5"/>
        <v>11.640201618381308</v>
      </c>
      <c r="T34" s="10">
        <f t="shared" si="5"/>
        <v>11.873005650748935</v>
      </c>
      <c r="U34" s="10">
        <f t="shared" si="5"/>
        <v>12.110465763763914</v>
      </c>
      <c r="V34" s="10">
        <f t="shared" si="5"/>
        <v>12.352675079039193</v>
      </c>
      <c r="W34" s="10">
        <f t="shared" si="5"/>
        <v>12.599728580619976</v>
      </c>
      <c r="X34" s="10">
        <f t="shared" si="5"/>
        <v>12.851723152232376</v>
      </c>
      <c r="Y34" s="10">
        <f t="shared" si="5"/>
        <v>13.108757615277023</v>
      </c>
      <c r="Z34" s="10">
        <f t="shared" si="5"/>
        <v>13.370932767582564</v>
      </c>
      <c r="AA34" s="10">
        <f t="shared" si="5"/>
        <v>13.638351422934216</v>
      </c>
      <c r="AB34" s="10">
        <f t="shared" si="5"/>
        <v>13.9111184513929</v>
      </c>
      <c r="AC34" s="10">
        <f t="shared" si="5"/>
        <v>14.189340820420759</v>
      </c>
      <c r="AD34" s="10">
        <f t="shared" si="5"/>
        <v>14.473127636829174</v>
      </c>
      <c r="AE34" s="10">
        <f t="shared" si="5"/>
        <v>14.762590189565758</v>
      </c>
      <c r="AF34" s="10">
        <f t="shared" si="5"/>
        <v>15.057841993357073</v>
      </c>
      <c r="AG34" s="10">
        <f t="shared" si="5"/>
        <v>15.358998833224215</v>
      </c>
      <c r="AH34" s="10">
        <f t="shared" si="5"/>
        <v>15.666178809888699</v>
      </c>
      <c r="AI34" s="10">
        <f t="shared" si="5"/>
        <v>15.979502386086473</v>
      </c>
      <c r="AJ34" s="10">
        <f t="shared" si="5"/>
        <v>16.299092433808202</v>
      </c>
      <c r="AK34" s="10">
        <f t="shared" si="5"/>
        <v>16.625074282484366</v>
      </c>
      <c r="AL34" s="10">
        <f t="shared" si="5"/>
        <v>16.957575768134053</v>
      </c>
      <c r="AM34" s="10">
        <f t="shared" si="5"/>
        <v>17.296727283496732</v>
      </c>
      <c r="AN34" s="10">
        <f t="shared" si="5"/>
        <v>17.642661829166666</v>
      </c>
      <c r="AO34" s="10">
        <f t="shared" si="5"/>
        <v>17.995515065749998</v>
      </c>
      <c r="AP34" s="10">
        <f t="shared" si="5"/>
        <v>18.355425367064999</v>
      </c>
      <c r="AQ34" s="10">
        <f t="shared" si="5"/>
        <v>18.722533874406299</v>
      </c>
      <c r="AR34" s="10">
        <f t="shared" si="5"/>
        <v>19.096984551894426</v>
      </c>
      <c r="AS34" s="10">
        <f t="shared" si="5"/>
        <v>19.478924242932315</v>
      </c>
      <c r="AT34" s="10">
        <f t="shared" si="5"/>
        <v>19.868502727790961</v>
      </c>
      <c r="AU34" s="10">
        <f t="shared" si="5"/>
        <v>20.265872782346779</v>
      </c>
      <c r="AV34" s="10">
        <f t="shared" si="5"/>
        <v>20.671190237993716</v>
      </c>
      <c r="AW34" s="10">
        <f t="shared" si="5"/>
        <v>21.084614042753593</v>
      </c>
      <c r="AX34" s="10">
        <f t="shared" si="5"/>
        <v>21.506306323608666</v>
      </c>
      <c r="AY34" s="10">
        <f t="shared" si="5"/>
        <v>21.93643245008084</v>
      </c>
      <c r="AZ34" s="10">
        <f t="shared" si="5"/>
        <v>22.375161099082458</v>
      </c>
      <c r="BA34" s="10">
        <f t="shared" si="5"/>
        <v>22.822664321064106</v>
      </c>
      <c r="BB34" s="10">
        <f t="shared" si="5"/>
        <v>23.279117607485389</v>
      </c>
      <c r="BC34" s="10">
        <f t="shared" si="5"/>
        <v>23.744699959635099</v>
      </c>
      <c r="BD34" s="10">
        <f t="shared" si="5"/>
        <v>24.219593958827801</v>
      </c>
      <c r="BE34" s="10">
        <f t="shared" si="5"/>
        <v>24.703985838004357</v>
      </c>
      <c r="BF34" s="10">
        <f t="shared" si="5"/>
        <v>25.198065554764444</v>
      </c>
      <c r="BG34" s="10">
        <f t="shared" si="5"/>
        <v>25.702026865859732</v>
      </c>
      <c r="BH34" s="10">
        <f t="shared" si="5"/>
        <v>26.216067403176929</v>
      </c>
      <c r="BI34" s="10">
        <f t="shared" si="5"/>
        <v>26.740388751240467</v>
      </c>
      <c r="BJ34" s="10">
        <f t="shared" si="5"/>
        <v>27.275196526265276</v>
      </c>
      <c r="BK34" s="10">
        <f t="shared" si="5"/>
        <v>27.820700456790583</v>
      </c>
      <c r="BL34" s="10">
        <f t="shared" si="5"/>
        <v>28.377114465926393</v>
      </c>
      <c r="BM34" s="10">
        <f t="shared" si="5"/>
        <v>28.944656755244921</v>
      </c>
      <c r="BN34" s="10">
        <f t="shared" si="5"/>
        <v>29.52354989034982</v>
      </c>
      <c r="BO34" s="10">
        <f t="shared" si="5"/>
        <v>30.114020888156816</v>
      </c>
      <c r="BP34" s="10">
        <f t="shared" si="5"/>
        <v>30.716301305919952</v>
      </c>
      <c r="BQ34" s="10">
        <f t="shared" si="5"/>
        <v>31.33062733203835</v>
      </c>
      <c r="BR34" s="10">
        <f t="shared" si="5"/>
        <v>31.957239878679118</v>
      </c>
      <c r="BS34" s="10">
        <f t="shared" si="5"/>
        <v>32.596384676252704</v>
      </c>
      <c r="BT34" s="10">
        <f t="shared" si="5"/>
        <v>33.248312369777757</v>
      </c>
      <c r="BU34" s="10">
        <f t="shared" si="5"/>
        <v>33.913278617173312</v>
      </c>
      <c r="BV34" s="10">
        <f t="shared" si="5"/>
        <v>34.591544189516782</v>
      </c>
      <c r="BW34" s="10">
        <f t="shared" si="5"/>
        <v>35.28337507330712</v>
      </c>
      <c r="BX34" s="10">
        <f t="shared" ref="BX34:CI34" si="6">BW34*1.02</f>
        <v>35.989042574773265</v>
      </c>
      <c r="BY34" s="10">
        <f t="shared" si="6"/>
        <v>36.708823426268729</v>
      </c>
      <c r="BZ34" s="10">
        <f t="shared" si="6"/>
        <v>37.442999894794106</v>
      </c>
      <c r="CA34" s="10">
        <f t="shared" si="6"/>
        <v>38.19185989268999</v>
      </c>
      <c r="CB34" s="10">
        <f t="shared" si="6"/>
        <v>38.955697090543794</v>
      </c>
      <c r="CC34" s="10">
        <f t="shared" si="6"/>
        <v>39.734811032354671</v>
      </c>
      <c r="CD34" s="10">
        <f t="shared" si="6"/>
        <v>40.529507253001768</v>
      </c>
      <c r="CE34" s="10">
        <f t="shared" si="6"/>
        <v>41.340097398061801</v>
      </c>
      <c r="CF34" s="10">
        <f t="shared" si="6"/>
        <v>42.166899346023037</v>
      </c>
      <c r="CG34" s="10">
        <f t="shared" si="6"/>
        <v>43.010237332943497</v>
      </c>
      <c r="CH34" s="10">
        <f t="shared" si="6"/>
        <v>43.87044207960237</v>
      </c>
      <c r="CI34" s="10">
        <f t="shared" si="6"/>
        <v>44.74785092119442</v>
      </c>
    </row>
    <row r="35" spans="3:87" x14ac:dyDescent="0.45">
      <c r="C35" t="s">
        <v>61</v>
      </c>
      <c r="D35">
        <f>SUM(D30:D32)</f>
        <v>0.16999999999999993</v>
      </c>
      <c r="E35">
        <f t="shared" ref="E35:J35" si="7">SUM(E30:E32)</f>
        <v>-2.9899999999999993</v>
      </c>
      <c r="F35">
        <f t="shared" si="7"/>
        <v>3.0499999999999972</v>
      </c>
      <c r="G35">
        <f t="shared" si="7"/>
        <v>-1.67</v>
      </c>
      <c r="H35">
        <f t="shared" si="7"/>
        <v>1.6599999999999984</v>
      </c>
      <c r="I35">
        <f t="shared" si="7"/>
        <v>-1.379999999999999</v>
      </c>
      <c r="J35">
        <f t="shared" si="7"/>
        <v>-2.000000000000135E-2</v>
      </c>
    </row>
    <row r="37" spans="3:87" x14ac:dyDescent="0.45">
      <c r="L37" t="s">
        <v>52</v>
      </c>
      <c r="M37" s="16">
        <f>NPV(6%,K34:ZZ34)</f>
        <v>235.52421237804154</v>
      </c>
    </row>
    <row r="38" spans="3:87" x14ac:dyDescent="0.45">
      <c r="E38">
        <f>(E34-D34)/D34</f>
        <v>0.12378167641325549</v>
      </c>
      <c r="F38">
        <f>(F34-E34)/E34</f>
        <v>9.5403295750216329E-3</v>
      </c>
      <c r="G38">
        <f>(G34-F34)/F34</f>
        <v>-0.13917525773195885</v>
      </c>
      <c r="H38">
        <f>(H34-G34)/G34</f>
        <v>-0.14970059880239522</v>
      </c>
      <c r="I38">
        <f>(I34-H34)/H34</f>
        <v>-0.23122065727699528</v>
      </c>
      <c r="J38">
        <f>(J34-I34)/I34</f>
        <v>0.48702290076335858</v>
      </c>
      <c r="L38" t="s">
        <v>54</v>
      </c>
    </row>
    <row r="40" spans="3:87" x14ac:dyDescent="0.45">
      <c r="E40">
        <f>AVERAGE(E38:J38)</f>
        <v>1.6708065490047729E-2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NESN</vt:lpstr>
      <vt:lpstr>Balance Sheet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Martim Silva Lobo</dc:creator>
  <cp:lastModifiedBy>Martim Silva Lobo</cp:lastModifiedBy>
  <dcterms:created xsi:type="dcterms:W3CDTF">2015-06-05T18:19:34Z</dcterms:created>
  <dcterms:modified xsi:type="dcterms:W3CDTF">2024-11-23T18:55:43Z</dcterms:modified>
</cp:coreProperties>
</file>