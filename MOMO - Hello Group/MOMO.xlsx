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Stock Research/MOMO - Hello Group/"/>
    </mc:Choice>
  </mc:AlternateContent>
  <xr:revisionPtr revIDLastSave="591" documentId="11_AD4DF034E34935FBC521DCE2FF5B45405ADEDD89" xr6:coauthVersionLast="47" xr6:coauthVersionMax="47" xr10:uidLastSave="{7F68252F-0333-409C-9CCD-AA0D5B197D43}"/>
  <bookViews>
    <workbookView xWindow="-98" yWindow="-98" windowWidth="20715" windowHeight="13155" activeTab="2" xr2:uid="{00000000-000D-0000-FFFF-FFFF00000000}"/>
  </bookViews>
  <sheets>
    <sheet name="MOMO" sheetId="1" r:id="rId1"/>
    <sheet name="Balance Sheet" sheetId="2" r:id="rId2"/>
    <sheet name="DC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3" l="1"/>
  <c r="J29" i="3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29" i="3" s="1"/>
  <c r="AI29" i="3" s="1"/>
  <c r="AJ29" i="3" s="1"/>
  <c r="AK29" i="3" s="1"/>
  <c r="AL29" i="3" s="1"/>
  <c r="AM29" i="3" s="1"/>
  <c r="AN29" i="3" s="1"/>
  <c r="AO29" i="3" s="1"/>
  <c r="AP29" i="3" s="1"/>
  <c r="AQ29" i="3" s="1"/>
  <c r="AR29" i="3" s="1"/>
  <c r="AS29" i="3" s="1"/>
  <c r="AT29" i="3" s="1"/>
  <c r="I29" i="3"/>
  <c r="H29" i="3"/>
  <c r="G29" i="3"/>
  <c r="G44" i="3"/>
  <c r="AT41" i="3"/>
  <c r="AU41" i="3" s="1"/>
  <c r="AV41" i="3" s="1"/>
  <c r="AW41" i="3" s="1"/>
  <c r="AX41" i="3" s="1"/>
  <c r="AY41" i="3" s="1"/>
  <c r="AZ41" i="3" s="1"/>
  <c r="BA41" i="3" s="1"/>
  <c r="BB41" i="3" s="1"/>
  <c r="BC41" i="3" s="1"/>
  <c r="BD41" i="3" s="1"/>
  <c r="BE41" i="3" s="1"/>
  <c r="BF41" i="3" s="1"/>
  <c r="BG41" i="3" s="1"/>
  <c r="BH41" i="3" s="1"/>
  <c r="BI41" i="3" s="1"/>
  <c r="BJ41" i="3" s="1"/>
  <c r="BK41" i="3" s="1"/>
  <c r="BL41" i="3" s="1"/>
  <c r="BM41" i="3" s="1"/>
  <c r="BN41" i="3" s="1"/>
  <c r="BO41" i="3" s="1"/>
  <c r="BP41" i="3" s="1"/>
  <c r="BQ41" i="3" s="1"/>
  <c r="BR41" i="3" s="1"/>
  <c r="BS41" i="3" s="1"/>
  <c r="BT41" i="3" s="1"/>
  <c r="BU41" i="3" s="1"/>
  <c r="BV41" i="3" s="1"/>
  <c r="BW41" i="3" s="1"/>
  <c r="BX41" i="3" s="1"/>
  <c r="BY41" i="3" s="1"/>
  <c r="BZ41" i="3" s="1"/>
  <c r="CA41" i="3" s="1"/>
  <c r="CB41" i="3" s="1"/>
  <c r="CC41" i="3" s="1"/>
  <c r="CD41" i="3" s="1"/>
  <c r="CE41" i="3" s="1"/>
  <c r="CF41" i="3" s="1"/>
  <c r="CG41" i="3" s="1"/>
  <c r="CH41" i="3" s="1"/>
  <c r="CI41" i="3" s="1"/>
  <c r="CJ41" i="3" s="1"/>
  <c r="CK41" i="3" s="1"/>
  <c r="CL41" i="3" s="1"/>
  <c r="CM41" i="3" s="1"/>
  <c r="CN41" i="3" s="1"/>
  <c r="CO41" i="3" s="1"/>
  <c r="I41" i="3"/>
  <c r="J41" i="3" s="1"/>
  <c r="K41" i="3" s="1"/>
  <c r="L41" i="3" s="1"/>
  <c r="M41" i="3" s="1"/>
  <c r="N41" i="3" s="1"/>
  <c r="O41" i="3" s="1"/>
  <c r="P41" i="3" s="1"/>
  <c r="Q41" i="3" s="1"/>
  <c r="R41" i="3" s="1"/>
  <c r="S41" i="3" s="1"/>
  <c r="T41" i="3" s="1"/>
  <c r="U41" i="3" s="1"/>
  <c r="V41" i="3" s="1"/>
  <c r="W41" i="3" s="1"/>
  <c r="X41" i="3" s="1"/>
  <c r="Y41" i="3" s="1"/>
  <c r="Z41" i="3" s="1"/>
  <c r="AA41" i="3" s="1"/>
  <c r="AB41" i="3" s="1"/>
  <c r="AC41" i="3" s="1"/>
  <c r="AD41" i="3" s="1"/>
  <c r="AE41" i="3" s="1"/>
  <c r="AF41" i="3" s="1"/>
  <c r="AG41" i="3" s="1"/>
  <c r="AH41" i="3" s="1"/>
  <c r="AI41" i="3" s="1"/>
  <c r="AJ41" i="3" s="1"/>
  <c r="AK41" i="3" s="1"/>
  <c r="AL41" i="3" s="1"/>
  <c r="AM41" i="3" s="1"/>
  <c r="AN41" i="3" s="1"/>
  <c r="AO41" i="3" s="1"/>
  <c r="AP41" i="3" s="1"/>
  <c r="AQ41" i="3" s="1"/>
  <c r="AR41" i="3" s="1"/>
  <c r="AS41" i="3" s="1"/>
  <c r="H41" i="3"/>
  <c r="G41" i="3"/>
  <c r="O38" i="3"/>
  <c r="N38" i="3"/>
  <c r="M38" i="3"/>
  <c r="L38" i="3"/>
  <c r="K38" i="3"/>
  <c r="J38" i="3"/>
  <c r="I38" i="3"/>
  <c r="H38" i="3"/>
  <c r="F38" i="3"/>
  <c r="G38" i="3"/>
  <c r="I27" i="3"/>
  <c r="G25" i="3"/>
  <c r="G16" i="3"/>
  <c r="G26" i="3"/>
  <c r="F26" i="3"/>
  <c r="F25" i="3"/>
  <c r="F16" i="3"/>
  <c r="H26" i="3"/>
  <c r="H25" i="3"/>
  <c r="H16" i="3"/>
  <c r="I25" i="3"/>
  <c r="I26" i="3"/>
  <c r="J25" i="3"/>
  <c r="J26" i="3" s="1"/>
  <c r="J16" i="3"/>
  <c r="K26" i="3"/>
  <c r="L26" i="3"/>
  <c r="L16" i="3"/>
  <c r="M26" i="3"/>
  <c r="N26" i="3"/>
  <c r="N16" i="3"/>
  <c r="N4" i="3"/>
  <c r="O4" i="3"/>
  <c r="O19" i="3" s="1"/>
  <c r="O23" i="3" s="1"/>
  <c r="O26" i="3" s="1"/>
  <c r="K4" i="2"/>
  <c r="K5" i="2"/>
  <c r="F21" i="2"/>
  <c r="F14" i="2"/>
  <c r="G4" i="1"/>
  <c r="G8" i="1"/>
  <c r="G5" i="1"/>
</calcChain>
</file>

<file path=xl/sharedStrings.xml><?xml version="1.0" encoding="utf-8"?>
<sst xmlns="http://schemas.openxmlformats.org/spreadsheetml/2006/main" count="101" uniqueCount="79">
  <si>
    <t>Price</t>
  </si>
  <si>
    <t>Ticker</t>
  </si>
  <si>
    <t>$MOMO</t>
  </si>
  <si>
    <t>S O/s</t>
  </si>
  <si>
    <t>MC</t>
  </si>
  <si>
    <t>Cash</t>
  </si>
  <si>
    <t>Debt</t>
  </si>
  <si>
    <t>EV</t>
  </si>
  <si>
    <t>Assets</t>
  </si>
  <si>
    <t>Non-Current Assets</t>
  </si>
  <si>
    <t>Long-term deposits</t>
  </si>
  <si>
    <t>Long-term restricted cash</t>
  </si>
  <si>
    <t>Right-of-use assets</t>
  </si>
  <si>
    <t>PPE</t>
  </si>
  <si>
    <t>Intangible assets</t>
  </si>
  <si>
    <t>Rental deposits</t>
  </si>
  <si>
    <t>Long-term investments</t>
  </si>
  <si>
    <t>Other non-current assets</t>
  </si>
  <si>
    <t>Deferred tax assets</t>
  </si>
  <si>
    <t>Liquidability (%)</t>
  </si>
  <si>
    <t>Total non-current assets</t>
  </si>
  <si>
    <t>Current Assets</t>
  </si>
  <si>
    <t>Cash and cash equivalents</t>
  </si>
  <si>
    <t>Short-term deposits</t>
  </si>
  <si>
    <t>Restricted cash</t>
  </si>
  <si>
    <t>Accounts Receivable</t>
  </si>
  <si>
    <t>Prepaid expenses and other current assets</t>
  </si>
  <si>
    <t>Total current assets</t>
  </si>
  <si>
    <t>Total Liabilities</t>
  </si>
  <si>
    <t>Market Capitalization</t>
  </si>
  <si>
    <t>Asset Liquidation Value</t>
  </si>
  <si>
    <t>Company Liquidation Value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</si>
  <si>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</si>
  <si>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</si>
  <si>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</si>
  <si>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</si>
  <si>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</si>
  <si>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</si>
  <si>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</si>
  <si>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</si>
  <si>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</t>
  </si>
  <si>
    <t>&gt; Live video service</t>
  </si>
  <si>
    <t>&gt; Value added service</t>
  </si>
  <si>
    <t>&gt; Mobile marketing</t>
  </si>
  <si>
    <t>&gt; Mobile games</t>
  </si>
  <si>
    <t>&gt; Other services</t>
  </si>
  <si>
    <t>Cost of Revenues</t>
  </si>
  <si>
    <t>R&amp;D</t>
  </si>
  <si>
    <t>Sales and marketing</t>
  </si>
  <si>
    <t>General and administrative</t>
  </si>
  <si>
    <t>Total costs and expenses</t>
  </si>
  <si>
    <t>Other operating income</t>
  </si>
  <si>
    <t>EBIT</t>
  </si>
  <si>
    <t>Interest Income</t>
  </si>
  <si>
    <t>Interest expense</t>
  </si>
  <si>
    <t>Other gain and loss</t>
  </si>
  <si>
    <t>EBT</t>
  </si>
  <si>
    <t>Income Tax</t>
  </si>
  <si>
    <t>Net Income</t>
  </si>
  <si>
    <t>Income/Loss in equity method investments</t>
  </si>
  <si>
    <t>Q422</t>
  </si>
  <si>
    <t>Q122</t>
  </si>
  <si>
    <t>Q222</t>
  </si>
  <si>
    <t>Q322</t>
  </si>
  <si>
    <t>Impairment on goodwill &amp; intangibles</t>
  </si>
  <si>
    <t>-</t>
  </si>
  <si>
    <t>Average NI</t>
  </si>
  <si>
    <t>Discounted Net Income</t>
  </si>
  <si>
    <t>Investing CF</t>
  </si>
  <si>
    <t>Financing CF</t>
  </si>
  <si>
    <t>FCF</t>
  </si>
  <si>
    <t>Capital Expenditure</t>
  </si>
  <si>
    <t>Operating CF</t>
  </si>
  <si>
    <t>Average FCF</t>
  </si>
  <si>
    <t>…</t>
  </si>
  <si>
    <t>Q125</t>
  </si>
  <si>
    <t>Assumptions:</t>
  </si>
  <si>
    <t>DCF</t>
  </si>
  <si>
    <t>1% Quarter Over Quarter decrease of FCF, 10% discount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</si>
</sst>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solid">
        <fgColor indexed="42"/>
        <bgColor indexed="24"/>
      </patternFill>
    </fill>
  </fills>
  <borders count="8">
    <border>
      <left/>
      <right/>
      <top/>
      <bottom/>
      <diagonal/>
    </border>
    <border>
      <left/>
      <right/>
      <top style="thick">
        <color indexed="20"/>
      </top>
      <bottom/>
      <diagonal/>
    </border>
    <border>
      <left/>
      <right/>
      <top style="thick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ck">
        <color indexed="20"/>
      </bottom>
      <diagonal/>
    </border>
    <border>
      <left/>
      <right/>
      <top/>
      <bottom style="thin">
        <color indexed="20"/>
      </bottom>
      <diagonal/>
    </border>
    <border>
      <left/>
      <right/>
      <top style="thick">
        <color indexed="20"/>
      </top>
      <bottom style="thick">
        <color indexed="20"/>
      </bottom>
      <diagonal/>
    </border>
    <border>
      <left/>
      <right/>
      <top style="thin">
        <color indexed="23"/>
      </top>
      <bottom style="thick">
        <color indexed="2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1" applyNumberFormat="1" applyFont="1"/>
    <xf numFmtId="164" fontId="1" fillId="0" borderId="0" xfId="1" applyNumberFormat="1" applyFont="1" applyFill="1" applyBorder="1" applyAlignment="1"/>
    <xf numFmtId="0" fontId="3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164" fontId="1" fillId="0" borderId="3" xfId="1" applyNumberFormat="1" applyFont="1" applyFill="1" applyBorder="1" applyAlignment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right"/>
    </xf>
    <xf numFmtId="0" fontId="2" fillId="0" borderId="4" xfId="0" applyFont="1" applyBorder="1" applyAlignment="1">
      <alignment horizontal="left"/>
    </xf>
    <xf numFmtId="164" fontId="1" fillId="0" borderId="4" xfId="1" applyNumberFormat="1" applyFont="1" applyFill="1" applyBorder="1" applyAlignment="1"/>
    <xf numFmtId="0" fontId="2" fillId="0" borderId="0" xfId="0" applyFont="1"/>
    <xf numFmtId="9" fontId="1" fillId="0" borderId="0" xfId="2" applyFont="1" applyFill="1" applyBorder="1" applyAlignment="1"/>
    <xf numFmtId="164" fontId="0" fillId="0" borderId="0" xfId="0" applyNumberFormat="1"/>
    <xf numFmtId="0" fontId="3" fillId="0" borderId="5" xfId="0" applyFont="1" applyBorder="1" applyAlignment="1">
      <alignment horizontal="left"/>
    </xf>
    <xf numFmtId="164" fontId="0" fillId="0" borderId="3" xfId="0" applyNumberFormat="1" applyBorder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4" xfId="0" applyBorder="1" applyAlignment="1">
      <alignment horizontal="left"/>
    </xf>
    <xf numFmtId="164" fontId="0" fillId="0" borderId="4" xfId="0" applyNumberFormat="1" applyBorder="1"/>
    <xf numFmtId="9" fontId="0" fillId="0" borderId="3" xfId="2" applyFont="1" applyFill="1" applyBorder="1" applyAlignment="1"/>
    <xf numFmtId="9" fontId="0" fillId="0" borderId="0" xfId="2" applyFont="1" applyFill="1" applyBorder="1" applyAlignment="1"/>
    <xf numFmtId="9" fontId="0" fillId="0" borderId="4" xfId="2" applyFont="1" applyFill="1" applyBorder="1" applyAlignment="1"/>
    <xf numFmtId="164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left"/>
    </xf>
    <xf numFmtId="164" fontId="4" fillId="3" borderId="0" xfId="1" applyNumberFormat="1" applyFont="1" applyFill="1" applyBorder="1" applyAlignment="1"/>
    <xf numFmtId="0" fontId="4" fillId="3" borderId="0" xfId="0" applyFont="1" applyFill="1" applyAlignment="1">
      <alignment horizontal="left"/>
    </xf>
    <xf numFmtId="0" fontId="5" fillId="2" borderId="7" xfId="0" applyFont="1" applyFill="1" applyBorder="1" applyAlignment="1">
      <alignment horizontal="left"/>
    </xf>
    <xf numFmtId="164" fontId="4" fillId="2" borderId="7" xfId="1" applyNumberFormat="1" applyFont="1" applyFill="1" applyBorder="1" applyAlignment="1"/>
    <xf numFmtId="164" fontId="2" fillId="0" borderId="0" xfId="1" applyNumberFormat="1" applyFont="1"/>
    <xf numFmtId="164" fontId="2" fillId="0" borderId="0" xfId="0" applyNumberFormat="1" applyFont="1"/>
    <xf numFmtId="8" fontId="0" fillId="0" borderId="0" xfId="0" applyNumberFormat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</cellXfs>
  <cellStyles count="3">
    <cellStyle name="Normal" xfId="0" builtinId="0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G9"/>
  <sheetViews>
    <sheetView workbookViewId="0">
      <selection activeCell="G17" sqref="G17"/>
    </sheetView>
  </sheetViews>
  <sheetFormatPr defaultRowHeight="14.25" x14ac:dyDescent="0.45"/>
  <cols>
    <col min="6" max="6" width="6" bestFit="1" customWidth="1"/>
    <col min="7" max="7" width="9.86328125" bestFit="1" customWidth="1"/>
  </cols>
  <sheetData>
    <row r="1" spans="6:7" ht="14.65" thickBot="1" x14ac:dyDescent="0.5"/>
    <row r="2" spans="6:7" ht="16.149999999999999" thickTop="1" x14ac:dyDescent="0.5">
      <c r="F2" s="3" t="s">
        <v>1</v>
      </c>
      <c r="G2" s="7" t="s">
        <v>2</v>
      </c>
    </row>
    <row r="3" spans="6:7" x14ac:dyDescent="0.45">
      <c r="F3" s="4" t="s">
        <v>0</v>
      </c>
      <c r="G3">
        <v>6.74</v>
      </c>
    </row>
    <row r="4" spans="6:7" x14ac:dyDescent="0.45">
      <c r="F4" s="4" t="s">
        <v>3</v>
      </c>
      <c r="G4" s="2">
        <f>352650/2</f>
        <v>176325</v>
      </c>
    </row>
    <row r="5" spans="6:7" x14ac:dyDescent="0.45">
      <c r="F5" s="6" t="s">
        <v>4</v>
      </c>
      <c r="G5" s="5">
        <f>G4*G3</f>
        <v>1188430.5</v>
      </c>
    </row>
    <row r="6" spans="6:7" x14ac:dyDescent="0.45">
      <c r="F6" s="6" t="s">
        <v>5</v>
      </c>
      <c r="G6" s="5">
        <v>819929</v>
      </c>
    </row>
    <row r="7" spans="6:7" x14ac:dyDescent="0.45">
      <c r="F7" s="6" t="s">
        <v>6</v>
      </c>
      <c r="G7" s="5">
        <v>840687</v>
      </c>
    </row>
    <row r="8" spans="6:7" ht="14.65" thickBot="1" x14ac:dyDescent="0.5">
      <c r="F8" s="8" t="s">
        <v>7</v>
      </c>
      <c r="G8" s="9">
        <f>G5-G6+G7</f>
        <v>1209188.5</v>
      </c>
    </row>
    <row r="9" spans="6:7" ht="14.65" thickTop="1" x14ac:dyDescent="0.4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4534-EEA9-45B5-9B0B-D1119BBE0F18}">
  <dimension ref="E2:K24"/>
  <sheetViews>
    <sheetView workbookViewId="0">
      <selection activeCell="K8" sqref="K8"/>
    </sheetView>
  </sheetViews>
  <sheetFormatPr defaultRowHeight="14.25" x14ac:dyDescent="0.45"/>
  <cols>
    <col min="5" max="5" width="34.265625" bestFit="1" customWidth="1"/>
    <col min="6" max="6" width="9.86328125" bestFit="1" customWidth="1"/>
    <col min="7" max="7" width="13.46484375" bestFit="1" customWidth="1"/>
    <col min="10" max="10" width="23.265625" bestFit="1" customWidth="1"/>
    <col min="11" max="11" width="9.86328125" bestFit="1" customWidth="1"/>
  </cols>
  <sheetData>
    <row r="2" spans="5:11" ht="14.65" thickBot="1" x14ac:dyDescent="0.5"/>
    <row r="3" spans="5:11" ht="16.149999999999999" thickTop="1" x14ac:dyDescent="0.5">
      <c r="E3" s="32" t="s">
        <v>8</v>
      </c>
      <c r="F3" s="33"/>
      <c r="G3" s="16" t="s">
        <v>19</v>
      </c>
      <c r="J3" s="26" t="s">
        <v>29</v>
      </c>
      <c r="K3" s="25">
        <v>1188431</v>
      </c>
    </row>
    <row r="4" spans="5:11" ht="15.75" x14ac:dyDescent="0.5">
      <c r="E4" s="13" t="s">
        <v>9</v>
      </c>
      <c r="F4" s="17"/>
      <c r="G4" s="17"/>
      <c r="J4" s="26" t="s">
        <v>30</v>
      </c>
      <c r="K4" s="25">
        <f>F5+F6+F10*0.6+F11*0.6+F13+F16+F17+F18+F19/2</f>
        <v>2048807.1</v>
      </c>
    </row>
    <row r="5" spans="5:11" ht="14.65" thickBot="1" x14ac:dyDescent="0.5">
      <c r="E5" s="4" t="s">
        <v>10</v>
      </c>
      <c r="F5" s="2">
        <v>525209</v>
      </c>
      <c r="G5" s="11">
        <v>1</v>
      </c>
      <c r="J5" s="27" t="s">
        <v>31</v>
      </c>
      <c r="K5" s="28">
        <f>K3-K4+F23</f>
        <v>-19689.100000000093</v>
      </c>
    </row>
    <row r="6" spans="5:11" ht="14.65" thickTop="1" x14ac:dyDescent="0.45">
      <c r="E6" s="4" t="s">
        <v>11</v>
      </c>
      <c r="F6" s="2">
        <v>368383</v>
      </c>
      <c r="G6" s="11">
        <v>1</v>
      </c>
    </row>
    <row r="7" spans="5:11" x14ac:dyDescent="0.45">
      <c r="E7" s="4" t="s">
        <v>12</v>
      </c>
      <c r="F7" s="2">
        <v>41873</v>
      </c>
      <c r="G7" s="11">
        <v>0</v>
      </c>
    </row>
    <row r="8" spans="5:11" x14ac:dyDescent="0.45">
      <c r="E8" s="4" t="s">
        <v>13</v>
      </c>
      <c r="F8" s="2">
        <v>122373</v>
      </c>
      <c r="G8" s="11">
        <v>0</v>
      </c>
    </row>
    <row r="9" spans="5:11" x14ac:dyDescent="0.45">
      <c r="E9" s="4" t="s">
        <v>14</v>
      </c>
      <c r="F9" s="2">
        <v>1999</v>
      </c>
      <c r="G9" s="11">
        <v>0</v>
      </c>
    </row>
    <row r="10" spans="5:11" x14ac:dyDescent="0.45">
      <c r="E10" s="4" t="s">
        <v>15</v>
      </c>
      <c r="F10" s="2">
        <v>1895</v>
      </c>
      <c r="G10" s="11">
        <v>0.6</v>
      </c>
    </row>
    <row r="11" spans="5:11" x14ac:dyDescent="0.45">
      <c r="E11" s="4" t="s">
        <v>16</v>
      </c>
      <c r="F11" s="2">
        <v>100036</v>
      </c>
      <c r="G11" s="11">
        <v>0.6</v>
      </c>
    </row>
    <row r="12" spans="5:11" x14ac:dyDescent="0.45">
      <c r="E12" s="4" t="s">
        <v>17</v>
      </c>
      <c r="F12" s="2">
        <v>29137</v>
      </c>
      <c r="G12" s="11">
        <v>0</v>
      </c>
    </row>
    <row r="13" spans="5:11" x14ac:dyDescent="0.45">
      <c r="E13" s="4" t="s">
        <v>18</v>
      </c>
      <c r="F13" s="2">
        <v>4929</v>
      </c>
      <c r="G13" s="11">
        <v>1</v>
      </c>
    </row>
    <row r="14" spans="5:11" x14ac:dyDescent="0.45">
      <c r="E14" s="6" t="s">
        <v>20</v>
      </c>
      <c r="F14" s="14">
        <f>SUM(F5:F13)</f>
        <v>1195834</v>
      </c>
      <c r="G14" s="20"/>
    </row>
    <row r="15" spans="5:11" x14ac:dyDescent="0.45">
      <c r="E15" s="15" t="s">
        <v>21</v>
      </c>
      <c r="G15" s="21"/>
    </row>
    <row r="16" spans="5:11" x14ac:dyDescent="0.45">
      <c r="E16" s="4" t="s">
        <v>22</v>
      </c>
      <c r="F16" s="12">
        <v>819929</v>
      </c>
      <c r="G16" s="21">
        <v>1</v>
      </c>
    </row>
    <row r="17" spans="5:7" x14ac:dyDescent="0.45">
      <c r="E17" s="4" t="s">
        <v>23</v>
      </c>
      <c r="F17" s="12">
        <v>48162</v>
      </c>
      <c r="G17" s="21">
        <v>1</v>
      </c>
    </row>
    <row r="18" spans="5:7" x14ac:dyDescent="0.45">
      <c r="E18" s="4" t="s">
        <v>24</v>
      </c>
      <c r="F18" s="12">
        <v>208319</v>
      </c>
      <c r="G18" s="21">
        <v>1</v>
      </c>
    </row>
    <row r="19" spans="5:7" x14ac:dyDescent="0.45">
      <c r="E19" s="4" t="s">
        <v>25</v>
      </c>
      <c r="F19" s="12">
        <v>25435</v>
      </c>
      <c r="G19" s="21">
        <v>0.5</v>
      </c>
    </row>
    <row r="20" spans="5:7" x14ac:dyDescent="0.45">
      <c r="E20" s="4" t="s">
        <v>26</v>
      </c>
      <c r="F20" s="12">
        <v>106893</v>
      </c>
      <c r="G20" s="21">
        <v>0</v>
      </c>
    </row>
    <row r="21" spans="5:7" ht="14.65" thickBot="1" x14ac:dyDescent="0.5">
      <c r="E21" s="18" t="s">
        <v>27</v>
      </c>
      <c r="F21" s="19">
        <f>SUM(F16:F20)</f>
        <v>1208738</v>
      </c>
      <c r="G21" s="22"/>
    </row>
    <row r="22" spans="5:7" ht="15" thickTop="1" thickBot="1" x14ac:dyDescent="0.5"/>
    <row r="23" spans="5:7" ht="15" thickTop="1" thickBot="1" x14ac:dyDescent="0.5">
      <c r="E23" s="24" t="s">
        <v>28</v>
      </c>
      <c r="F23" s="23">
        <v>840687</v>
      </c>
    </row>
    <row r="24" spans="5:7" ht="14.65" thickTop="1" x14ac:dyDescent="0.45"/>
  </sheetData>
  <mergeCells count="1"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735F-56FE-4FF1-8725-62C328BB173B}">
  <dimension ref="A3:CO44"/>
  <sheetViews>
    <sheetView tabSelected="1" topLeftCell="C1" workbookViewId="0">
      <selection activeCell="G3" sqref="G3"/>
    </sheetView>
  </sheetViews>
  <sheetFormatPr defaultRowHeight="14.25" x14ac:dyDescent="0.45"/>
  <cols>
    <col min="5" max="5" width="34.796875" bestFit="1" customWidth="1"/>
    <col min="6" max="6" width="10.86328125" bestFit="1" customWidth="1"/>
    <col min="7" max="7" width="11.1328125" bestFit="1" customWidth="1"/>
    <col min="9" max="9" width="10.86328125" bestFit="1" customWidth="1"/>
    <col min="10" max="10" width="11.1328125" bestFit="1" customWidth="1"/>
  </cols>
  <sheetData>
    <row r="3" spans="5:17" x14ac:dyDescent="0.45">
      <c r="F3" t="s">
        <v>61</v>
      </c>
      <c r="G3" t="s">
        <v>62</v>
      </c>
      <c r="H3" t="s">
        <v>63</v>
      </c>
      <c r="I3" t="s">
        <v>60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</row>
    <row r="4" spans="5:17" x14ac:dyDescent="0.45">
      <c r="E4" s="10" t="s">
        <v>40</v>
      </c>
      <c r="F4" s="29">
        <v>496597</v>
      </c>
      <c r="G4" s="29">
        <v>464373</v>
      </c>
      <c r="H4" s="29">
        <v>454491</v>
      </c>
      <c r="I4" s="29">
        <v>576567</v>
      </c>
      <c r="J4" s="29">
        <v>410458</v>
      </c>
      <c r="K4" s="29">
        <v>432707</v>
      </c>
      <c r="L4" s="29">
        <v>417057</v>
      </c>
      <c r="M4" s="29">
        <v>422954</v>
      </c>
      <c r="N4" s="29">
        <f>SUM(N5:N9)</f>
        <v>354614</v>
      </c>
      <c r="O4" s="29">
        <f>SUM(O5:O9)</f>
        <v>370348</v>
      </c>
      <c r="P4" s="29"/>
      <c r="Q4" s="29"/>
    </row>
    <row r="5" spans="5:17" x14ac:dyDescent="0.45">
      <c r="E5" t="s">
        <v>41</v>
      </c>
      <c r="F5" s="1">
        <v>253770</v>
      </c>
      <c r="G5" s="1">
        <v>226927</v>
      </c>
      <c r="H5" s="1">
        <v>233012</v>
      </c>
      <c r="I5" s="1">
        <v>337191</v>
      </c>
      <c r="J5" s="1">
        <v>208128</v>
      </c>
      <c r="K5" s="1">
        <v>219112</v>
      </c>
      <c r="L5" s="1">
        <v>209813</v>
      </c>
      <c r="M5" s="1">
        <v>214635</v>
      </c>
      <c r="N5" s="1">
        <v>171536</v>
      </c>
      <c r="O5" s="29">
        <v>179302</v>
      </c>
      <c r="P5" s="1"/>
      <c r="Q5" s="1"/>
    </row>
    <row r="6" spans="5:17" x14ac:dyDescent="0.45">
      <c r="E6" t="s">
        <v>42</v>
      </c>
      <c r="F6" s="1">
        <v>234006</v>
      </c>
      <c r="G6" s="1">
        <v>229376</v>
      </c>
      <c r="H6" s="1">
        <v>216162</v>
      </c>
      <c r="I6" s="1">
        <v>231575</v>
      </c>
      <c r="J6" s="1">
        <v>198246</v>
      </c>
      <c r="K6" s="1">
        <v>206788</v>
      </c>
      <c r="L6" s="1">
        <v>201031</v>
      </c>
      <c r="M6" s="1">
        <v>200692</v>
      </c>
      <c r="N6" s="1">
        <v>179269</v>
      </c>
      <c r="O6" s="1">
        <v>185121</v>
      </c>
      <c r="P6" s="1"/>
      <c r="Q6" s="1"/>
    </row>
    <row r="7" spans="5:17" x14ac:dyDescent="0.45">
      <c r="E7" t="s">
        <v>43</v>
      </c>
      <c r="F7" s="1">
        <v>4397</v>
      </c>
      <c r="G7" s="1">
        <v>5362</v>
      </c>
      <c r="H7" s="1">
        <v>3970</v>
      </c>
      <c r="I7" s="1">
        <v>3981</v>
      </c>
      <c r="J7" s="1">
        <v>3068</v>
      </c>
      <c r="K7" s="1">
        <v>5101</v>
      </c>
      <c r="L7" s="1">
        <v>4208</v>
      </c>
      <c r="M7" s="1">
        <v>6326</v>
      </c>
      <c r="N7" s="1">
        <v>3683</v>
      </c>
      <c r="O7" s="1">
        <v>5778</v>
      </c>
      <c r="P7" s="1"/>
      <c r="Q7" s="1"/>
    </row>
    <row r="8" spans="5:17" x14ac:dyDescent="0.45">
      <c r="E8" t="s">
        <v>44</v>
      </c>
      <c r="F8" s="1">
        <v>4022</v>
      </c>
      <c r="G8" s="1">
        <v>2568</v>
      </c>
      <c r="H8" s="1">
        <v>1085</v>
      </c>
      <c r="I8" s="1">
        <v>3028</v>
      </c>
      <c r="J8" s="1">
        <v>539</v>
      </c>
      <c r="K8" s="1">
        <v>359</v>
      </c>
      <c r="L8" s="1">
        <v>1078</v>
      </c>
      <c r="M8" s="1">
        <v>766</v>
      </c>
      <c r="N8" s="1">
        <v>60</v>
      </c>
      <c r="O8" s="1">
        <v>0</v>
      </c>
      <c r="P8" s="1"/>
      <c r="Q8" s="1"/>
    </row>
    <row r="9" spans="5:17" x14ac:dyDescent="0.45">
      <c r="E9" t="s">
        <v>45</v>
      </c>
      <c r="F9" s="1">
        <v>402</v>
      </c>
      <c r="G9" s="1">
        <v>140</v>
      </c>
      <c r="H9" s="1">
        <v>262</v>
      </c>
      <c r="I9" s="1">
        <v>792</v>
      </c>
      <c r="J9" s="1">
        <v>477</v>
      </c>
      <c r="K9" s="1">
        <v>1347</v>
      </c>
      <c r="L9" s="1">
        <v>927</v>
      </c>
      <c r="M9" s="1">
        <v>535</v>
      </c>
      <c r="N9" s="1">
        <v>66</v>
      </c>
      <c r="O9" s="1">
        <v>147</v>
      </c>
      <c r="P9" s="1"/>
      <c r="Q9" s="1"/>
    </row>
    <row r="10" spans="5:17" x14ac:dyDescent="0.45"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5:17" x14ac:dyDescent="0.45">
      <c r="E11" t="s">
        <v>46</v>
      </c>
      <c r="F11" s="1">
        <v>-287317</v>
      </c>
      <c r="G11" s="1">
        <v>-268411</v>
      </c>
      <c r="H11" s="1">
        <v>-265149</v>
      </c>
      <c r="I11" s="1">
        <v>-343897</v>
      </c>
      <c r="J11" s="1">
        <v>-242325</v>
      </c>
      <c r="K11" s="1">
        <v>-250929</v>
      </c>
      <c r="L11" s="1">
        <v>-242808</v>
      </c>
      <c r="M11" s="1">
        <v>-249316</v>
      </c>
      <c r="N11" s="1">
        <v>-208164</v>
      </c>
      <c r="O11" s="1">
        <v>-219588</v>
      </c>
      <c r="P11" s="1"/>
      <c r="Q11" s="1"/>
    </row>
    <row r="12" spans="5:17" x14ac:dyDescent="0.45">
      <c r="E12" t="s">
        <v>47</v>
      </c>
      <c r="F12" s="1">
        <v>-39467</v>
      </c>
      <c r="G12" s="1">
        <v>-35572</v>
      </c>
      <c r="H12" s="1">
        <v>-34456</v>
      </c>
      <c r="I12" s="1">
        <v>-43591</v>
      </c>
      <c r="J12" s="1">
        <v>-34481</v>
      </c>
      <c r="K12" s="1">
        <v>-29601</v>
      </c>
      <c r="L12" s="1">
        <v>-27644</v>
      </c>
      <c r="M12" s="1">
        <v>-32598</v>
      </c>
      <c r="N12" s="1">
        <v>-26618</v>
      </c>
      <c r="O12" s="1">
        <v>-26581</v>
      </c>
      <c r="P12" s="1"/>
      <c r="Q12" s="1"/>
    </row>
    <row r="13" spans="5:17" x14ac:dyDescent="0.45">
      <c r="E13" t="s">
        <v>48</v>
      </c>
      <c r="F13" s="1">
        <v>-92846</v>
      </c>
      <c r="G13" s="1">
        <v>-91213</v>
      </c>
      <c r="H13" s="1">
        <v>-65652</v>
      </c>
      <c r="I13" s="1">
        <v>-103506</v>
      </c>
      <c r="J13" s="1">
        <v>-55301</v>
      </c>
      <c r="K13" s="1">
        <v>-49167</v>
      </c>
      <c r="L13" s="1">
        <v>-51253</v>
      </c>
      <c r="M13" s="1">
        <v>-42916</v>
      </c>
      <c r="N13" s="1">
        <v>-40640</v>
      </c>
      <c r="O13" s="1">
        <v>-50194</v>
      </c>
      <c r="P13" s="1"/>
      <c r="Q13" s="1"/>
    </row>
    <row r="14" spans="5:17" x14ac:dyDescent="0.45">
      <c r="E14" t="s">
        <v>49</v>
      </c>
      <c r="F14" s="1">
        <v>-25213</v>
      </c>
      <c r="G14" s="1">
        <v>-23551</v>
      </c>
      <c r="H14" s="1">
        <v>-19109</v>
      </c>
      <c r="I14" s="1">
        <v>-25932</v>
      </c>
      <c r="J14" s="1">
        <v>-20138</v>
      </c>
      <c r="K14" s="1">
        <v>-17209</v>
      </c>
      <c r="L14" s="1">
        <v>-15611</v>
      </c>
      <c r="M14" s="1">
        <v>-17676</v>
      </c>
      <c r="N14" s="1">
        <v>-18196</v>
      </c>
      <c r="O14" s="1">
        <v>-16716</v>
      </c>
      <c r="P14" s="1"/>
      <c r="Q14" s="1"/>
    </row>
    <row r="15" spans="5:17" x14ac:dyDescent="0.45">
      <c r="E15" t="s">
        <v>64</v>
      </c>
      <c r="F15" t="s">
        <v>65</v>
      </c>
      <c r="G15" t="s">
        <v>65</v>
      </c>
      <c r="H15" t="s">
        <v>65</v>
      </c>
      <c r="I15" s="1">
        <v>-689987</v>
      </c>
      <c r="J15" t="s">
        <v>65</v>
      </c>
      <c r="K15" t="s">
        <v>65</v>
      </c>
      <c r="L15" t="s">
        <v>65</v>
      </c>
      <c r="M15" t="s">
        <v>65</v>
      </c>
      <c r="N15" t="s">
        <v>65</v>
      </c>
      <c r="O15" t="s">
        <v>65</v>
      </c>
      <c r="P15" s="29"/>
      <c r="Q15" s="29"/>
    </row>
    <row r="16" spans="5:17" x14ac:dyDescent="0.45">
      <c r="E16" s="10" t="s">
        <v>50</v>
      </c>
      <c r="F16" s="29">
        <f>SUM(F11:F14)</f>
        <v>-444843</v>
      </c>
      <c r="G16" s="29">
        <f>SUM(G11:G14)</f>
        <v>-418747</v>
      </c>
      <c r="H16" s="29">
        <f>SUM(H11:H14)</f>
        <v>-384366</v>
      </c>
      <c r="I16" s="29">
        <v>-1212913</v>
      </c>
      <c r="J16" s="29">
        <f>SUM(J11:J14)</f>
        <v>-352245</v>
      </c>
      <c r="K16" s="29">
        <v>-346906</v>
      </c>
      <c r="L16" s="29">
        <f>SUM(L11:L14)</f>
        <v>-337316</v>
      </c>
      <c r="M16" s="29">
        <v>-342506</v>
      </c>
      <c r="N16" s="29">
        <f>SUM(N11:N14)</f>
        <v>-293618</v>
      </c>
      <c r="O16" s="29">
        <v>-313079</v>
      </c>
      <c r="P16" s="1"/>
      <c r="Q16" s="1"/>
    </row>
    <row r="17" spans="5:46" x14ac:dyDescent="0.45"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5:46" x14ac:dyDescent="0.45">
      <c r="E18" t="s">
        <v>51</v>
      </c>
      <c r="F18" s="1">
        <v>3775</v>
      </c>
      <c r="G18" s="1">
        <v>6057</v>
      </c>
      <c r="H18" s="1">
        <v>2993</v>
      </c>
      <c r="I18" s="1">
        <v>6051</v>
      </c>
      <c r="J18" s="1">
        <v>5299</v>
      </c>
      <c r="K18" s="1">
        <v>3161</v>
      </c>
      <c r="L18" s="1">
        <v>5478</v>
      </c>
      <c r="M18" s="1">
        <v>4341</v>
      </c>
      <c r="N18" s="1">
        <v>2757</v>
      </c>
      <c r="O18" s="1">
        <v>1219</v>
      </c>
      <c r="P18" s="29"/>
      <c r="Q18" s="29"/>
    </row>
    <row r="19" spans="5:46" x14ac:dyDescent="0.45">
      <c r="E19" s="10" t="s">
        <v>52</v>
      </c>
      <c r="F19" s="29">
        <v>55529</v>
      </c>
      <c r="G19" s="29">
        <v>51683</v>
      </c>
      <c r="H19" s="29">
        <v>73118</v>
      </c>
      <c r="I19" s="29">
        <v>-630295</v>
      </c>
      <c r="J19" s="29">
        <v>63512</v>
      </c>
      <c r="K19" s="29">
        <v>88962</v>
      </c>
      <c r="L19" s="29">
        <v>85219</v>
      </c>
      <c r="M19" s="29">
        <v>84789</v>
      </c>
      <c r="N19" s="29">
        <v>63753</v>
      </c>
      <c r="O19" s="29">
        <f>O4+O16+O18</f>
        <v>58488</v>
      </c>
      <c r="P19" s="1"/>
      <c r="Q19" s="1"/>
    </row>
    <row r="20" spans="5:46" x14ac:dyDescent="0.45">
      <c r="E20" t="s">
        <v>53</v>
      </c>
      <c r="F20" s="1">
        <v>15437</v>
      </c>
      <c r="G20" s="1">
        <v>13979</v>
      </c>
      <c r="H20" s="1">
        <v>12550</v>
      </c>
      <c r="I20" s="1">
        <v>15625</v>
      </c>
      <c r="J20" s="1">
        <v>14530</v>
      </c>
      <c r="K20" s="1">
        <v>15903</v>
      </c>
      <c r="L20" s="1">
        <v>13266</v>
      </c>
      <c r="M20" s="1">
        <v>17515</v>
      </c>
      <c r="N20" s="1">
        <v>16773</v>
      </c>
      <c r="O20" s="1">
        <v>18018</v>
      </c>
      <c r="P20" s="1"/>
      <c r="Q20" s="1"/>
    </row>
    <row r="21" spans="5:46" x14ac:dyDescent="0.45">
      <c r="E21" t="s">
        <v>54</v>
      </c>
      <c r="F21" s="1">
        <v>-3050</v>
      </c>
      <c r="G21" s="1">
        <v>-4215</v>
      </c>
      <c r="H21" s="1">
        <v>-3516</v>
      </c>
      <c r="I21" s="1">
        <v>-2894</v>
      </c>
      <c r="J21" s="1">
        <v>-1517</v>
      </c>
      <c r="K21" s="1">
        <v>-1650</v>
      </c>
      <c r="L21" s="1">
        <v>-2644</v>
      </c>
      <c r="M21" s="1">
        <v>-2895</v>
      </c>
      <c r="N21" s="1">
        <v>-3282</v>
      </c>
      <c r="O21" s="1">
        <v>-4471</v>
      </c>
      <c r="P21" s="1"/>
      <c r="Q21" s="1"/>
    </row>
    <row r="22" spans="5:46" x14ac:dyDescent="0.45">
      <c r="E22" t="s">
        <v>55</v>
      </c>
      <c r="F22" s="1">
        <v>1833</v>
      </c>
      <c r="G22" s="1">
        <v>9899</v>
      </c>
      <c r="H22" s="1">
        <v>5680</v>
      </c>
      <c r="I22" s="1">
        <v>314</v>
      </c>
      <c r="J22" s="1">
        <v>0</v>
      </c>
      <c r="K22" s="1">
        <v>630</v>
      </c>
      <c r="L22" s="1">
        <v>0</v>
      </c>
      <c r="M22" s="1">
        <v>-4401</v>
      </c>
      <c r="N22" s="1">
        <v>-1280</v>
      </c>
      <c r="O22" s="1">
        <v>-4765</v>
      </c>
      <c r="P22" s="1"/>
      <c r="Q22" s="1"/>
    </row>
    <row r="23" spans="5:46" x14ac:dyDescent="0.45">
      <c r="E23" t="s">
        <v>56</v>
      </c>
      <c r="F23" s="1">
        <v>69749</v>
      </c>
      <c r="G23" s="1">
        <v>71346</v>
      </c>
      <c r="H23" s="1">
        <v>87832</v>
      </c>
      <c r="I23" s="1">
        <v>-617250</v>
      </c>
      <c r="J23" s="1">
        <v>76525</v>
      </c>
      <c r="K23" s="1">
        <v>103845</v>
      </c>
      <c r="L23" s="1">
        <v>95841</v>
      </c>
      <c r="M23" s="1">
        <v>95008</v>
      </c>
      <c r="N23" s="1">
        <v>75964</v>
      </c>
      <c r="O23" s="1">
        <f>O19+O20+O21+O22</f>
        <v>67270</v>
      </c>
      <c r="P23" s="1"/>
      <c r="Q23" s="1"/>
    </row>
    <row r="24" spans="5:46" x14ac:dyDescent="0.45">
      <c r="E24" t="s">
        <v>57</v>
      </c>
      <c r="F24" s="1">
        <v>-23784</v>
      </c>
      <c r="G24" s="1">
        <v>-21804</v>
      </c>
      <c r="H24" s="1">
        <v>-21936</v>
      </c>
      <c r="I24" s="1">
        <v>-46526</v>
      </c>
      <c r="J24" s="1">
        <v>-17854</v>
      </c>
      <c r="K24" s="1">
        <v>-22888</v>
      </c>
      <c r="L24" s="1">
        <v>-21664</v>
      </c>
      <c r="M24" s="1">
        <v>-25828</v>
      </c>
      <c r="N24" s="1">
        <v>-77229</v>
      </c>
      <c r="O24" s="1">
        <v>-14120</v>
      </c>
      <c r="P24" s="29"/>
      <c r="Q24" s="29"/>
    </row>
    <row r="25" spans="5:46" x14ac:dyDescent="0.45">
      <c r="E25" t="s">
        <v>59</v>
      </c>
      <c r="F25" s="1">
        <f>-410+174</f>
        <v>-236</v>
      </c>
      <c r="G25" s="1">
        <f>1868+182</f>
        <v>2050</v>
      </c>
      <c r="H25" s="1">
        <f>-2654+136</f>
        <v>-2518</v>
      </c>
      <c r="I25" s="1">
        <f>-2204+207</f>
        <v>-1997</v>
      </c>
      <c r="J25" s="1">
        <f>-1962+121</f>
        <v>-1841</v>
      </c>
      <c r="K25" s="1">
        <v>-2581</v>
      </c>
      <c r="L25" s="1">
        <v>133</v>
      </c>
      <c r="M25" s="1">
        <v>-5451</v>
      </c>
      <c r="N25" s="1">
        <v>1983</v>
      </c>
      <c r="O25" s="1">
        <v>1587</v>
      </c>
      <c r="P25" s="10"/>
      <c r="Q25" s="10"/>
    </row>
    <row r="26" spans="5:46" x14ac:dyDescent="0.45">
      <c r="E26" s="10" t="s">
        <v>58</v>
      </c>
      <c r="F26" s="30">
        <f t="shared" ref="F26:L26" si="0">F23+F24+F25</f>
        <v>45729</v>
      </c>
      <c r="G26" s="30">
        <f t="shared" si="0"/>
        <v>51592</v>
      </c>
      <c r="H26" s="30">
        <f t="shared" si="0"/>
        <v>63378</v>
      </c>
      <c r="I26" s="30">
        <f t="shared" si="0"/>
        <v>-665773</v>
      </c>
      <c r="J26" s="30">
        <f t="shared" si="0"/>
        <v>56830</v>
      </c>
      <c r="K26" s="30">
        <f t="shared" si="0"/>
        <v>78376</v>
      </c>
      <c r="L26" s="30">
        <f t="shared" si="0"/>
        <v>74310</v>
      </c>
      <c r="M26" s="30">
        <f>SUM(M23:M25)</f>
        <v>63729</v>
      </c>
      <c r="N26" s="30">
        <f>SUM(N23:N25)</f>
        <v>718</v>
      </c>
      <c r="O26" s="30">
        <f>SUM(O23:O25)</f>
        <v>54737</v>
      </c>
    </row>
    <row r="27" spans="5:46" x14ac:dyDescent="0.45">
      <c r="I27" s="12">
        <f>I26-I15</f>
        <v>24214</v>
      </c>
    </row>
    <row r="29" spans="5:46" x14ac:dyDescent="0.45">
      <c r="F29" t="s">
        <v>66</v>
      </c>
      <c r="G29" s="12">
        <f>AVERAGE(F26,G26,H26,I27,K26,J26,L26,M26,N26,O26)</f>
        <v>51361.3</v>
      </c>
      <c r="H29" s="12">
        <f>G29*0.99</f>
        <v>50847.687000000005</v>
      </c>
      <c r="I29" s="12">
        <f t="shared" ref="I29:AT29" si="1">H29*0.99</f>
        <v>50339.210130000007</v>
      </c>
      <c r="J29" s="12">
        <f t="shared" si="1"/>
        <v>49835.818028700007</v>
      </c>
      <c r="K29" s="12">
        <f t="shared" si="1"/>
        <v>49337.459848413004</v>
      </c>
      <c r="L29" s="12">
        <f t="shared" si="1"/>
        <v>48844.085249928874</v>
      </c>
      <c r="M29" s="12">
        <f t="shared" si="1"/>
        <v>48355.644397429583</v>
      </c>
      <c r="N29" s="12">
        <f t="shared" si="1"/>
        <v>47872.087953455288</v>
      </c>
      <c r="O29" s="12">
        <f t="shared" si="1"/>
        <v>47393.367073920737</v>
      </c>
      <c r="P29" s="12">
        <f t="shared" si="1"/>
        <v>46919.433403181531</v>
      </c>
      <c r="Q29" s="12">
        <f t="shared" si="1"/>
        <v>46450.239069149713</v>
      </c>
      <c r="R29" s="12">
        <f t="shared" si="1"/>
        <v>45985.736678458219</v>
      </c>
      <c r="S29" s="12">
        <f t="shared" si="1"/>
        <v>45525.879311673634</v>
      </c>
      <c r="T29" s="12">
        <f t="shared" si="1"/>
        <v>45070.620518556898</v>
      </c>
      <c r="U29" s="12">
        <f t="shared" si="1"/>
        <v>44619.91431337133</v>
      </c>
      <c r="V29" s="12">
        <f t="shared" si="1"/>
        <v>44173.715170237614</v>
      </c>
      <c r="W29" s="12">
        <f t="shared" si="1"/>
        <v>43731.978018535236</v>
      </c>
      <c r="X29" s="12">
        <f t="shared" si="1"/>
        <v>43294.658238349883</v>
      </c>
      <c r="Y29" s="12">
        <f t="shared" si="1"/>
        <v>42861.711655966385</v>
      </c>
      <c r="Z29" s="12">
        <f t="shared" si="1"/>
        <v>42433.094539406724</v>
      </c>
      <c r="AA29" s="12">
        <f t="shared" si="1"/>
        <v>42008.763594012657</v>
      </c>
      <c r="AB29" s="12">
        <f t="shared" si="1"/>
        <v>41588.675958072527</v>
      </c>
      <c r="AC29" s="12">
        <f t="shared" si="1"/>
        <v>41172.789198491802</v>
      </c>
      <c r="AD29" s="12">
        <f t="shared" si="1"/>
        <v>40761.061306506883</v>
      </c>
      <c r="AE29" s="12">
        <f t="shared" si="1"/>
        <v>40353.450693441817</v>
      </c>
      <c r="AF29" s="12">
        <f t="shared" si="1"/>
        <v>39949.916186507398</v>
      </c>
      <c r="AG29" s="12">
        <f t="shared" si="1"/>
        <v>39550.417024642324</v>
      </c>
      <c r="AH29" s="12">
        <f t="shared" si="1"/>
        <v>39154.912854395901</v>
      </c>
      <c r="AI29" s="12">
        <f t="shared" si="1"/>
        <v>38763.363725851945</v>
      </c>
      <c r="AJ29" s="12">
        <f t="shared" si="1"/>
        <v>38375.730088593424</v>
      </c>
      <c r="AK29" s="12">
        <f t="shared" si="1"/>
        <v>37991.972787707491</v>
      </c>
      <c r="AL29" s="12">
        <f t="shared" si="1"/>
        <v>37612.053059830418</v>
      </c>
      <c r="AM29" s="12">
        <f t="shared" si="1"/>
        <v>37235.932529232115</v>
      </c>
      <c r="AN29" s="12">
        <f t="shared" si="1"/>
        <v>36863.573203939792</v>
      </c>
      <c r="AO29" s="12">
        <f t="shared" si="1"/>
        <v>36494.93747190039</v>
      </c>
      <c r="AP29" s="12">
        <f t="shared" si="1"/>
        <v>36129.988097181384</v>
      </c>
      <c r="AQ29" s="12">
        <f t="shared" si="1"/>
        <v>35768.688216209572</v>
      </c>
      <c r="AR29" s="12">
        <f t="shared" si="1"/>
        <v>35411.001334047476</v>
      </c>
      <c r="AS29" s="12">
        <f t="shared" si="1"/>
        <v>35056.891320707</v>
      </c>
      <c r="AT29" s="12">
        <f t="shared" si="1"/>
        <v>34706.322407499931</v>
      </c>
    </row>
    <row r="31" spans="5:46" x14ac:dyDescent="0.45">
      <c r="G31" t="s">
        <v>67</v>
      </c>
      <c r="J31" s="31">
        <f>NPV(10%, G29:ZZ29)</f>
        <v>460019.40579072782</v>
      </c>
    </row>
    <row r="33" spans="1:93" x14ac:dyDescent="0.45">
      <c r="F33" t="s">
        <v>61</v>
      </c>
      <c r="G33" t="s">
        <v>62</v>
      </c>
      <c r="H33" t="s">
        <v>63</v>
      </c>
      <c r="I33" t="s">
        <v>60</v>
      </c>
      <c r="J33" t="s">
        <v>32</v>
      </c>
      <c r="K33" t="s">
        <v>33</v>
      </c>
      <c r="L33" t="s">
        <v>34</v>
      </c>
      <c r="M33" t="s">
        <v>35</v>
      </c>
      <c r="N33" t="s">
        <v>36</v>
      </c>
      <c r="O33" t="s">
        <v>37</v>
      </c>
      <c r="P33" t="s">
        <v>38</v>
      </c>
      <c r="Q33" t="s">
        <v>39</v>
      </c>
    </row>
    <row r="34" spans="1:93" x14ac:dyDescent="0.45">
      <c r="E34" t="s">
        <v>72</v>
      </c>
      <c r="F34" s="1">
        <v>6834</v>
      </c>
      <c r="G34" s="1">
        <v>29991</v>
      </c>
      <c r="H34" s="1">
        <v>62490</v>
      </c>
      <c r="I34" s="1">
        <v>78103</v>
      </c>
      <c r="J34" s="1">
        <v>65680</v>
      </c>
      <c r="K34" s="1">
        <v>114151</v>
      </c>
      <c r="L34" s="1">
        <v>79835</v>
      </c>
      <c r="M34" s="1">
        <v>58573</v>
      </c>
      <c r="N34" s="1">
        <v>55423</v>
      </c>
      <c r="O34" s="1">
        <v>65395</v>
      </c>
      <c r="P34" s="1"/>
      <c r="Q34" s="1"/>
    </row>
    <row r="35" spans="1:93" x14ac:dyDescent="0.45">
      <c r="E35" t="s">
        <v>68</v>
      </c>
      <c r="F35" s="1">
        <v>-40717</v>
      </c>
      <c r="G35" s="1">
        <v>122913</v>
      </c>
      <c r="H35" s="1">
        <v>-3412</v>
      </c>
      <c r="I35" s="1">
        <v>170352</v>
      </c>
      <c r="J35" s="1">
        <v>57248</v>
      </c>
      <c r="K35" s="1">
        <v>171318</v>
      </c>
      <c r="L35" s="1">
        <v>47539</v>
      </c>
      <c r="M35" s="1">
        <v>60675</v>
      </c>
      <c r="N35" s="1">
        <v>35762</v>
      </c>
      <c r="O35" s="1">
        <v>79291</v>
      </c>
      <c r="P35" s="1"/>
      <c r="Q35" s="1"/>
    </row>
    <row r="36" spans="1:93" x14ac:dyDescent="0.45">
      <c r="E36" t="s">
        <v>69</v>
      </c>
      <c r="F36" s="1">
        <v>-18924</v>
      </c>
      <c r="G36" s="1">
        <v>-278734</v>
      </c>
      <c r="H36" s="1">
        <v>-188369</v>
      </c>
      <c r="I36" s="1">
        <v>-15318</v>
      </c>
      <c r="J36" s="1">
        <v>-70412</v>
      </c>
      <c r="K36" s="1">
        <v>-421169</v>
      </c>
      <c r="L36" s="1">
        <v>275305</v>
      </c>
      <c r="M36" s="1">
        <v>-24080</v>
      </c>
      <c r="N36" s="1">
        <v>168853</v>
      </c>
      <c r="O36" s="1">
        <v>-152859</v>
      </c>
      <c r="P36" s="1"/>
      <c r="Q36" s="1"/>
    </row>
    <row r="37" spans="1:93" x14ac:dyDescent="0.45">
      <c r="E37" t="s">
        <v>71</v>
      </c>
      <c r="F37" s="1">
        <v>-3415</v>
      </c>
      <c r="G37" s="1">
        <v>-20020</v>
      </c>
      <c r="H37" s="1">
        <v>-3803</v>
      </c>
      <c r="I37" s="1">
        <v>-1458</v>
      </c>
      <c r="J37" s="1">
        <v>-1490</v>
      </c>
      <c r="K37" s="1">
        <v>-1518</v>
      </c>
      <c r="L37" s="1">
        <v>-32651</v>
      </c>
      <c r="M37" s="1">
        <v>-44627</v>
      </c>
      <c r="N37" s="1">
        <v>-6118</v>
      </c>
      <c r="O37" s="1">
        <v>-27499</v>
      </c>
      <c r="P37" s="1"/>
      <c r="Q37" s="1"/>
    </row>
    <row r="38" spans="1:93" s="10" customFormat="1" x14ac:dyDescent="0.45">
      <c r="A38"/>
      <c r="B38"/>
      <c r="C38"/>
      <c r="D38"/>
      <c r="E38" s="10" t="s">
        <v>70</v>
      </c>
      <c r="F38" s="29">
        <f t="shared" ref="F38" si="2">F34+F37</f>
        <v>3419</v>
      </c>
      <c r="G38" s="29">
        <f>G34+G37</f>
        <v>9971</v>
      </c>
      <c r="H38" s="29">
        <f t="shared" ref="H38:O38" si="3">H34+H37</f>
        <v>58687</v>
      </c>
      <c r="I38" s="29">
        <f t="shared" si="3"/>
        <v>76645</v>
      </c>
      <c r="J38" s="29">
        <f t="shared" si="3"/>
        <v>64190</v>
      </c>
      <c r="K38" s="29">
        <f t="shared" si="3"/>
        <v>112633</v>
      </c>
      <c r="L38" s="29">
        <f t="shared" si="3"/>
        <v>47184</v>
      </c>
      <c r="M38" s="29">
        <f t="shared" si="3"/>
        <v>13946</v>
      </c>
      <c r="N38" s="29">
        <f t="shared" si="3"/>
        <v>49305</v>
      </c>
      <c r="O38" s="29">
        <f t="shared" si="3"/>
        <v>37896</v>
      </c>
      <c r="P38" s="29"/>
      <c r="Q38" s="29"/>
    </row>
    <row r="40" spans="1:93" x14ac:dyDescent="0.45">
      <c r="H40" s="1" t="s">
        <v>38</v>
      </c>
      <c r="I40" s="1" t="s">
        <v>39</v>
      </c>
      <c r="J40" s="1" t="s">
        <v>75</v>
      </c>
      <c r="K40" t="s">
        <v>74</v>
      </c>
    </row>
    <row r="41" spans="1:93" x14ac:dyDescent="0.45">
      <c r="F41" t="s">
        <v>73</v>
      </c>
      <c r="G41" s="12">
        <f>AVERAGE(F38:O38)</f>
        <v>47387.6</v>
      </c>
      <c r="H41" s="12">
        <f>G41*0.99</f>
        <v>46913.723999999995</v>
      </c>
      <c r="I41" s="12">
        <f t="shared" ref="I41:BT41" si="4">H41*0.99</f>
        <v>46444.586759999991</v>
      </c>
      <c r="J41" s="12">
        <f t="shared" si="4"/>
        <v>45980.140892399992</v>
      </c>
      <c r="K41" s="12">
        <f t="shared" si="4"/>
        <v>45520.339483475989</v>
      </c>
      <c r="L41" s="12">
        <f t="shared" si="4"/>
        <v>45065.136088641229</v>
      </c>
      <c r="M41" s="12">
        <f t="shared" si="4"/>
        <v>44614.484727754818</v>
      </c>
      <c r="N41" s="12">
        <f t="shared" si="4"/>
        <v>44168.339880477266</v>
      </c>
      <c r="O41" s="12">
        <f t="shared" si="4"/>
        <v>43726.656481672493</v>
      </c>
      <c r="P41" s="12">
        <f t="shared" si="4"/>
        <v>43289.389916855769</v>
      </c>
      <c r="Q41" s="12">
        <f t="shared" si="4"/>
        <v>42856.496017687212</v>
      </c>
      <c r="R41" s="12">
        <f t="shared" si="4"/>
        <v>42427.931057510337</v>
      </c>
      <c r="S41" s="12">
        <f t="shared" si="4"/>
        <v>42003.651746935233</v>
      </c>
      <c r="T41" s="12">
        <f t="shared" si="4"/>
        <v>41583.615229465882</v>
      </c>
      <c r="U41" s="12">
        <f t="shared" si="4"/>
        <v>41167.779077171224</v>
      </c>
      <c r="V41" s="12">
        <f t="shared" si="4"/>
        <v>40756.101286399513</v>
      </c>
      <c r="W41" s="12">
        <f t="shared" si="4"/>
        <v>40348.540273535516</v>
      </c>
      <c r="X41" s="12">
        <f t="shared" si="4"/>
        <v>39945.054870800159</v>
      </c>
      <c r="Y41" s="12">
        <f t="shared" si="4"/>
        <v>39545.604322092157</v>
      </c>
      <c r="Z41" s="12">
        <f t="shared" si="4"/>
        <v>39150.148278871231</v>
      </c>
      <c r="AA41" s="12">
        <f t="shared" si="4"/>
        <v>38758.646796082518</v>
      </c>
      <c r="AB41" s="12">
        <f t="shared" si="4"/>
        <v>38371.06032812169</v>
      </c>
      <c r="AC41" s="12">
        <f t="shared" si="4"/>
        <v>37987.349724840475</v>
      </c>
      <c r="AD41" s="12">
        <f t="shared" si="4"/>
        <v>37607.476227592073</v>
      </c>
      <c r="AE41" s="12">
        <f t="shared" si="4"/>
        <v>37231.40146531615</v>
      </c>
      <c r="AF41" s="12">
        <f t="shared" si="4"/>
        <v>36859.087450662992</v>
      </c>
      <c r="AG41" s="12">
        <f t="shared" si="4"/>
        <v>36490.496576156358</v>
      </c>
      <c r="AH41" s="12">
        <f t="shared" si="4"/>
        <v>36125.591610394797</v>
      </c>
      <c r="AI41" s="12">
        <f t="shared" si="4"/>
        <v>35764.33569429085</v>
      </c>
      <c r="AJ41" s="12">
        <f t="shared" si="4"/>
        <v>35406.692337347944</v>
      </c>
      <c r="AK41" s="12">
        <f t="shared" si="4"/>
        <v>35052.625413974463</v>
      </c>
      <c r="AL41" s="12">
        <f t="shared" si="4"/>
        <v>34702.099159834717</v>
      </c>
      <c r="AM41" s="12">
        <f t="shared" si="4"/>
        <v>34355.078168236367</v>
      </c>
      <c r="AN41" s="12">
        <f t="shared" si="4"/>
        <v>34011.527386554</v>
      </c>
      <c r="AO41" s="12">
        <f t="shared" si="4"/>
        <v>33671.412112688457</v>
      </c>
      <c r="AP41" s="12">
        <f t="shared" si="4"/>
        <v>33334.697991561574</v>
      </c>
      <c r="AQ41" s="12">
        <f t="shared" si="4"/>
        <v>33001.351011645958</v>
      </c>
      <c r="AR41" s="12">
        <f t="shared" si="4"/>
        <v>32671.337501529499</v>
      </c>
      <c r="AS41" s="12">
        <f t="shared" si="4"/>
        <v>32344.624126514202</v>
      </c>
      <c r="AT41" s="12">
        <f t="shared" si="4"/>
        <v>32021.177885249061</v>
      </c>
      <c r="AU41" s="12">
        <f t="shared" si="4"/>
        <v>31700.966106396569</v>
      </c>
      <c r="AV41" s="12">
        <f t="shared" si="4"/>
        <v>31383.956445332602</v>
      </c>
      <c r="AW41" s="12">
        <f t="shared" si="4"/>
        <v>31070.116880879275</v>
      </c>
      <c r="AX41" s="12">
        <f t="shared" si="4"/>
        <v>30759.415712070484</v>
      </c>
      <c r="AY41" s="12">
        <f t="shared" si="4"/>
        <v>30451.82155494978</v>
      </c>
      <c r="AZ41" s="12">
        <f t="shared" si="4"/>
        <v>30147.303339400281</v>
      </c>
      <c r="BA41" s="12">
        <f t="shared" si="4"/>
        <v>29845.830306006279</v>
      </c>
      <c r="BB41" s="12">
        <f t="shared" si="4"/>
        <v>29547.372002946217</v>
      </c>
      <c r="BC41" s="12">
        <f t="shared" si="4"/>
        <v>29251.898282916754</v>
      </c>
      <c r="BD41" s="12">
        <f t="shared" si="4"/>
        <v>28959.379300087585</v>
      </c>
      <c r="BE41" s="12">
        <f t="shared" si="4"/>
        <v>28669.785507086708</v>
      </c>
      <c r="BF41" s="12">
        <f t="shared" si="4"/>
        <v>28383.087652015842</v>
      </c>
      <c r="BG41" s="12">
        <f t="shared" si="4"/>
        <v>28099.256775495684</v>
      </c>
      <c r="BH41" s="12">
        <f t="shared" si="4"/>
        <v>27818.264207740725</v>
      </c>
      <c r="BI41" s="12">
        <f t="shared" si="4"/>
        <v>27540.081565663317</v>
      </c>
      <c r="BJ41" s="12">
        <f t="shared" si="4"/>
        <v>27264.680750006683</v>
      </c>
      <c r="BK41" s="12">
        <f t="shared" si="4"/>
        <v>26992.033942506616</v>
      </c>
      <c r="BL41" s="12">
        <f t="shared" si="4"/>
        <v>26722.113603081551</v>
      </c>
      <c r="BM41" s="12">
        <f t="shared" si="4"/>
        <v>26454.892467050733</v>
      </c>
      <c r="BN41" s="12">
        <f t="shared" si="4"/>
        <v>26190.343542380226</v>
      </c>
      <c r="BO41" s="12">
        <f t="shared" si="4"/>
        <v>25928.440106956423</v>
      </c>
      <c r="BP41" s="12">
        <f t="shared" si="4"/>
        <v>25669.155705886857</v>
      </c>
      <c r="BQ41" s="12">
        <f t="shared" si="4"/>
        <v>25412.464148827989</v>
      </c>
      <c r="BR41" s="12">
        <f t="shared" si="4"/>
        <v>25158.339507339708</v>
      </c>
      <c r="BS41" s="12">
        <f t="shared" si="4"/>
        <v>24906.75611226631</v>
      </c>
      <c r="BT41" s="12">
        <f t="shared" si="4"/>
        <v>24657.688551143649</v>
      </c>
      <c r="BU41" s="12">
        <f t="shared" ref="BU41:CO41" si="5">BT41*0.99</f>
        <v>24411.111665632212</v>
      </c>
      <c r="BV41" s="12">
        <f t="shared" si="5"/>
        <v>24167.000548975891</v>
      </c>
      <c r="BW41" s="12">
        <f t="shared" si="5"/>
        <v>23925.330543486132</v>
      </c>
      <c r="BX41" s="12">
        <f t="shared" si="5"/>
        <v>23686.077238051272</v>
      </c>
      <c r="BY41" s="12">
        <f t="shared" si="5"/>
        <v>23449.216465670757</v>
      </c>
      <c r="BZ41" s="12">
        <f t="shared" si="5"/>
        <v>23214.724301014048</v>
      </c>
      <c r="CA41" s="12">
        <f t="shared" si="5"/>
        <v>22982.577058003906</v>
      </c>
      <c r="CB41" s="12">
        <f t="shared" si="5"/>
        <v>22752.751287423867</v>
      </c>
      <c r="CC41" s="12">
        <f t="shared" si="5"/>
        <v>22525.223774549628</v>
      </c>
      <c r="CD41" s="12">
        <f t="shared" si="5"/>
        <v>22299.971536804132</v>
      </c>
      <c r="CE41" s="12">
        <f t="shared" si="5"/>
        <v>22076.971821436091</v>
      </c>
      <c r="CF41" s="12">
        <f t="shared" si="5"/>
        <v>21856.202103221731</v>
      </c>
      <c r="CG41" s="12">
        <f t="shared" si="5"/>
        <v>21637.640082189515</v>
      </c>
      <c r="CH41" s="12">
        <f t="shared" si="5"/>
        <v>21421.263681367618</v>
      </c>
      <c r="CI41" s="12">
        <f t="shared" si="5"/>
        <v>21207.05104455394</v>
      </c>
      <c r="CJ41" s="12">
        <f t="shared" si="5"/>
        <v>20994.980534108399</v>
      </c>
      <c r="CK41" s="12">
        <f t="shared" si="5"/>
        <v>20785.030728767317</v>
      </c>
      <c r="CL41" s="12">
        <f t="shared" si="5"/>
        <v>20577.180421479643</v>
      </c>
      <c r="CM41" s="12">
        <f t="shared" si="5"/>
        <v>20371.408617264846</v>
      </c>
      <c r="CN41" s="12">
        <f t="shared" si="5"/>
        <v>20167.694531092198</v>
      </c>
      <c r="CO41" s="12">
        <f t="shared" si="5"/>
        <v>19966.017585781276</v>
      </c>
    </row>
    <row r="43" spans="1:93" x14ac:dyDescent="0.45">
      <c r="F43" t="s">
        <v>76</v>
      </c>
      <c r="G43" t="s">
        <v>78</v>
      </c>
    </row>
    <row r="44" spans="1:93" x14ac:dyDescent="0.45">
      <c r="F44" t="s">
        <v>77</v>
      </c>
      <c r="G44" s="31">
        <f>NPV(10%, G41:ZZ41)</f>
        <v>430751.3472789838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MOMO</vt:lpstr>
      <vt:lpstr>Balance Sheet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2024-11-15T23:18:54Z</dcterms:modified>
</cp:coreProperties>
</file>