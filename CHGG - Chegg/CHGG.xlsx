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CHGG - Chegg/"/>
    </mc:Choice>
  </mc:AlternateContent>
  <xr:revisionPtr revIDLastSave="867" documentId="11_AD4DF034E34935FBC521DCE2FF5B45405ADEDD89" xr6:coauthVersionLast="47" xr6:coauthVersionMax="47" xr10:uidLastSave="{5B80457C-6B43-44C2-9B18-88F18ACD42B8}"/>
  <bookViews>
    <workbookView xWindow="-98" yWindow="-98" windowWidth="20715" windowHeight="13155" activeTab="2" xr2:uid="{00000000-000D-0000-FFFF-FFFF00000000}"/>
  </bookViews>
  <sheets>
    <sheet name="CHGG" sheetId="1" r:id="rId1"/>
    <sheet name="Balance Sheet" sheetId="2" r:id="rId2"/>
    <sheet name="D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3" l="1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N17" i="3"/>
  <c r="K8" i="2"/>
  <c r="H9" i="2"/>
  <c r="D20" i="2"/>
  <c r="M7" i="3"/>
  <c r="L18" i="3"/>
  <c r="K18" i="3"/>
  <c r="J18" i="3"/>
  <c r="I18" i="3"/>
  <c r="H18" i="3"/>
  <c r="G18" i="3"/>
  <c r="F18" i="3"/>
  <c r="E18" i="3"/>
  <c r="D18" i="3"/>
  <c r="M12" i="3"/>
  <c r="G17" i="3"/>
  <c r="G16" i="3"/>
  <c r="G14" i="3"/>
  <c r="G13" i="3"/>
  <c r="G10" i="3"/>
  <c r="G9" i="3"/>
  <c r="G8" i="3"/>
  <c r="G7" i="3"/>
  <c r="G5" i="3"/>
  <c r="G6" i="3" s="1"/>
  <c r="G4" i="3"/>
  <c r="K17" i="3"/>
  <c r="K16" i="3"/>
  <c r="K14" i="3"/>
  <c r="K13" i="3"/>
  <c r="K7" i="3"/>
  <c r="K8" i="3"/>
  <c r="K6" i="3"/>
  <c r="K9" i="3"/>
  <c r="K10" i="3"/>
  <c r="K5" i="3"/>
  <c r="K4" i="3"/>
  <c r="I17" i="3"/>
  <c r="H17" i="3"/>
  <c r="I15" i="3"/>
  <c r="I12" i="3"/>
  <c r="L6" i="3"/>
  <c r="L12" i="3" s="1"/>
  <c r="L15" i="3" s="1"/>
  <c r="L17" i="3" s="1"/>
  <c r="J6" i="3"/>
  <c r="J12" i="3" s="1"/>
  <c r="J15" i="3" s="1"/>
  <c r="J17" i="3" s="1"/>
  <c r="I6" i="3"/>
  <c r="H6" i="3"/>
  <c r="H12" i="3" s="1"/>
  <c r="H15" i="3" s="1"/>
  <c r="F6" i="3"/>
  <c r="F12" i="3" s="1"/>
  <c r="F15" i="3" s="1"/>
  <c r="F17" i="3" s="1"/>
  <c r="E6" i="3"/>
  <c r="E12" i="3" s="1"/>
  <c r="E15" i="3" s="1"/>
  <c r="E17" i="3" s="1"/>
  <c r="D6" i="3"/>
  <c r="D12" i="3" s="1"/>
  <c r="D15" i="3" s="1"/>
  <c r="D17" i="3" s="1"/>
  <c r="M6" i="3"/>
  <c r="H7" i="2"/>
  <c r="D12" i="2"/>
  <c r="F8" i="1"/>
  <c r="F6" i="1"/>
  <c r="F5" i="1"/>
  <c r="F4" i="1"/>
  <c r="D21" i="2" l="1"/>
  <c r="M15" i="3"/>
  <c r="M17" i="3" s="1"/>
  <c r="G12" i="3"/>
  <c r="G15" i="3" s="1"/>
  <c r="K12" i="3"/>
  <c r="K15" i="3" s="1"/>
  <c r="M18" i="3" l="1"/>
</calcChain>
</file>

<file path=xl/sharedStrings.xml><?xml version="1.0" encoding="utf-8"?>
<sst xmlns="http://schemas.openxmlformats.org/spreadsheetml/2006/main" count="79" uniqueCount="69">
  <si>
    <t>Ticker</t>
  </si>
  <si>
    <t>$CHGG</t>
  </si>
  <si>
    <t>Price</t>
  </si>
  <si>
    <t>Shares</t>
  </si>
  <si>
    <t>Cash</t>
  </si>
  <si>
    <t>Debt</t>
  </si>
  <si>
    <t>EV</t>
  </si>
  <si>
    <t>*figures in millions of $</t>
  </si>
  <si>
    <t>MC</t>
  </si>
  <si>
    <t>Assets</t>
  </si>
  <si>
    <t>Non-Current Assets</t>
  </si>
  <si>
    <t>Long-Term Investments</t>
  </si>
  <si>
    <t>PPE</t>
  </si>
  <si>
    <t>Intangible Assets</t>
  </si>
  <si>
    <t>Goodwill</t>
  </si>
  <si>
    <t>Right of Use Assets</t>
  </si>
  <si>
    <t>Deferred Tax Assets</t>
  </si>
  <si>
    <t>Total Non-Current Assets</t>
  </si>
  <si>
    <t>Current Assets</t>
  </si>
  <si>
    <t>Cash and Cash Equivalents</t>
  </si>
  <si>
    <t>Short-Term Investments</t>
  </si>
  <si>
    <t>Liquidability (%)</t>
  </si>
  <si>
    <t>Accounts Receivable</t>
  </si>
  <si>
    <t>Cash Advances</t>
  </si>
  <si>
    <t>Other Current Assets</t>
  </si>
  <si>
    <t>Other Non-Current Assets</t>
  </si>
  <si>
    <t>Total Current Assets</t>
  </si>
  <si>
    <t>???</t>
  </si>
  <si>
    <t>TOTAL ASSETS</t>
  </si>
  <si>
    <t>TOTAL LIABILITIES</t>
  </si>
  <si>
    <t>Liquidation Value</t>
  </si>
  <si>
    <t>Asset Liquidation Value</t>
  </si>
  <si>
    <t>MarketCap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</si>
  <si>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</si>
  <si>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</si>
  <si>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</si>
  <si>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</si>
  <si>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</si>
  <si>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</si>
  <si>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</si>
  <si>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</si>
  <si>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</si>
  <si>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</si>
  <si>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</si>
  <si>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</si>
  <si>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</si>
  <si>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COGS</t>
  </si>
  <si>
    <t>Gross Proft</t>
  </si>
  <si>
    <t>Operating Expenses</t>
  </si>
  <si>
    <t>R&amp;D</t>
  </si>
  <si>
    <t>Sales &amp; Marketing</t>
  </si>
  <si>
    <t>General &amp; Administrative</t>
  </si>
  <si>
    <t>Impairment Expense</t>
  </si>
  <si>
    <t>Interest Expense</t>
  </si>
  <si>
    <t>Other Income</t>
  </si>
  <si>
    <t>EBIT</t>
  </si>
  <si>
    <t>EBT</t>
  </si>
  <si>
    <t>Taxes</t>
  </si>
  <si>
    <t>Net Income</t>
  </si>
  <si>
    <t>&gt;</t>
  </si>
  <si>
    <t>Earnings p/share</t>
  </si>
  <si>
    <t>Prepaid Expenses</t>
  </si>
  <si>
    <t>Adjusted Entreprise Value</t>
  </si>
  <si>
    <t>Operating CF</t>
  </si>
  <si>
    <t>Investing CF</t>
  </si>
  <si>
    <t>Financing CF</t>
  </si>
  <si>
    <t>Capital Expenditure</t>
  </si>
  <si>
    <t>FCF</t>
  </si>
  <si>
    <t>Market is assuming no growth, company irrelevancy in &lt;1.5y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</si>
</sst>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2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43" fontId="1" fillId="0" borderId="0" xfId="1" applyFont="1" applyFill="1" applyBorder="1" applyAlignment="1"/>
    <xf numFmtId="164" fontId="1" fillId="0" borderId="0" xfId="1" applyNumberFormat="1" applyFont="1" applyFill="1" applyBorder="1" applyAlignment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164" fontId="1" fillId="0" borderId="2" xfId="1" applyNumberFormat="1" applyFont="1" applyFill="1" applyBorder="1" applyAlignment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3" xfId="0" applyFont="1" applyBorder="1" applyAlignment="1">
      <alignment horizontal="left"/>
    </xf>
    <xf numFmtId="164" fontId="1" fillId="0" borderId="3" xfId="1" applyNumberFormat="1" applyFont="1" applyFill="1" applyBorder="1" applyAlignment="1"/>
    <xf numFmtId="0" fontId="2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2" fillId="0" borderId="0" xfId="0" applyFont="1" applyAlignment="1">
      <alignment horizontal="left"/>
    </xf>
    <xf numFmtId="43" fontId="0" fillId="0" borderId="0" xfId="0" applyNumberFormat="1"/>
    <xf numFmtId="44" fontId="0" fillId="0" borderId="2" xfId="0" applyNumberFormat="1" applyBorder="1"/>
    <xf numFmtId="164" fontId="0" fillId="0" borderId="3" xfId="0" applyNumberFormat="1" applyBorder="1"/>
    <xf numFmtId="44" fontId="0" fillId="0" borderId="3" xfId="0" applyNumberFormat="1" applyBorder="1"/>
    <xf numFmtId="0" fontId="4" fillId="0" borderId="0" xfId="0" applyFont="1"/>
    <xf numFmtId="0" fontId="1" fillId="2" borderId="0" xfId="2"/>
    <xf numFmtId="164" fontId="1" fillId="2" borderId="0" xfId="2" applyNumberFormat="1"/>
    <xf numFmtId="0" fontId="0" fillId="0" borderId="0" xfId="0" applyAlignment="1">
      <alignment horizontal="right"/>
    </xf>
    <xf numFmtId="8" fontId="0" fillId="0" borderId="0" xfId="0" applyNumberFormat="1"/>
    <xf numFmtId="43" fontId="1" fillId="2" borderId="0" xfId="2" applyNumberFormat="1"/>
    <xf numFmtId="164" fontId="2" fillId="0" borderId="0" xfId="1" applyNumberFormat="1" applyFont="1"/>
    <xf numFmtId="43" fontId="2" fillId="0" borderId="0" xfId="1" applyFont="1"/>
    <xf numFmtId="0" fontId="2" fillId="2" borderId="0" xfId="2" applyFont="1"/>
    <xf numFmtId="164" fontId="2" fillId="2" borderId="0" xfId="2" applyNumberFormat="1" applyFont="1"/>
    <xf numFmtId="0" fontId="0" fillId="0" borderId="0" xfId="0" applyFont="1"/>
    <xf numFmtId="43" fontId="2" fillId="0" borderId="0" xfId="0" applyNumberFormat="1" applyFont="1"/>
  </cellXfs>
  <cellStyles count="3">
    <cellStyle name="20% - Cor1" xfId="2" builtinId="30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I2" sqref="I2"/>
    </sheetView>
  </sheetViews>
  <sheetFormatPr defaultRowHeight="14.25" x14ac:dyDescent="0.45"/>
  <cols>
    <col min="5" max="5" width="6" bestFit="1" customWidth="1"/>
    <col min="6" max="6" width="6.33203125" bestFit="1" customWidth="1"/>
  </cols>
  <sheetData>
    <row r="1" spans="1:6" ht="14.65" thickBot="1" x14ac:dyDescent="0.5">
      <c r="A1" t="s">
        <v>7</v>
      </c>
    </row>
    <row r="2" spans="1:6" ht="16.149999999999999" thickTop="1" x14ac:dyDescent="0.5">
      <c r="E2" s="6" t="s">
        <v>0</v>
      </c>
      <c r="F2" s="9" t="s">
        <v>1</v>
      </c>
    </row>
    <row r="3" spans="1:6" x14ac:dyDescent="0.45">
      <c r="E3" s="5" t="s">
        <v>2</v>
      </c>
      <c r="F3" s="3">
        <v>1.6</v>
      </c>
    </row>
    <row r="4" spans="1:6" x14ac:dyDescent="0.45">
      <c r="E4" s="5" t="s">
        <v>3</v>
      </c>
      <c r="F4" s="4">
        <f>103669879/1000000</f>
        <v>103.66987899999999</v>
      </c>
    </row>
    <row r="5" spans="1:6" x14ac:dyDescent="0.45">
      <c r="E5" s="8" t="s">
        <v>8</v>
      </c>
      <c r="F5" s="7">
        <f>F4*F3</f>
        <v>165.8718064</v>
      </c>
    </row>
    <row r="6" spans="1:6" x14ac:dyDescent="0.45">
      <c r="E6" s="8" t="s">
        <v>4</v>
      </c>
      <c r="F6" s="7">
        <f>133</f>
        <v>133</v>
      </c>
    </row>
    <row r="7" spans="1:6" x14ac:dyDescent="0.45">
      <c r="E7" s="8" t="s">
        <v>5</v>
      </c>
      <c r="F7" s="7">
        <v>748.8</v>
      </c>
    </row>
    <row r="8" spans="1:6" ht="14.65" thickBot="1" x14ac:dyDescent="0.5">
      <c r="E8" s="10" t="s">
        <v>6</v>
      </c>
      <c r="F8" s="11">
        <f>F5+F7-F6</f>
        <v>781.67180639999992</v>
      </c>
    </row>
    <row r="9" spans="1:6" ht="14.65" thickTop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97D1-14D6-4C98-A7E8-1022A8A6A16E}">
  <dimension ref="C2:K22"/>
  <sheetViews>
    <sheetView workbookViewId="0">
      <selection activeCell="K8" sqref="K8"/>
    </sheetView>
  </sheetViews>
  <sheetFormatPr defaultRowHeight="14.25" x14ac:dyDescent="0.45"/>
  <cols>
    <col min="3" max="3" width="21.59765625" bestFit="1" customWidth="1"/>
    <col min="4" max="4" width="9.86328125" bestFit="1" customWidth="1"/>
    <col min="5" max="5" width="13.46484375" bestFit="1" customWidth="1"/>
    <col min="7" max="7" width="29.86328125" bestFit="1" customWidth="1"/>
    <col min="8" max="8" width="14.3984375" bestFit="1" customWidth="1"/>
    <col min="10" max="10" width="14.46484375" bestFit="1" customWidth="1"/>
    <col min="11" max="11" width="10.86328125" bestFit="1" customWidth="1"/>
  </cols>
  <sheetData>
    <row r="2" spans="3:11" ht="14.65" thickBot="1" x14ac:dyDescent="0.5"/>
    <row r="3" spans="3:11" ht="16.149999999999999" thickTop="1" x14ac:dyDescent="0.5">
      <c r="C3" s="6" t="s">
        <v>9</v>
      </c>
      <c r="D3" s="9"/>
      <c r="E3" s="9" t="s">
        <v>21</v>
      </c>
      <c r="G3" s="12"/>
    </row>
    <row r="4" spans="3:11" x14ac:dyDescent="0.45">
      <c r="C4" s="15" t="s">
        <v>10</v>
      </c>
      <c r="G4" s="12"/>
      <c r="H4" s="1"/>
    </row>
    <row r="5" spans="3:11" x14ac:dyDescent="0.45">
      <c r="C5" s="5" t="s">
        <v>11</v>
      </c>
      <c r="D5" s="4">
        <v>270161</v>
      </c>
      <c r="E5" s="14">
        <v>0.8</v>
      </c>
      <c r="H5" s="1"/>
    </row>
    <row r="6" spans="3:11" x14ac:dyDescent="0.45">
      <c r="C6" s="5" t="s">
        <v>12</v>
      </c>
      <c r="D6" s="4">
        <v>177882</v>
      </c>
      <c r="E6" s="16">
        <v>0</v>
      </c>
      <c r="F6" t="s">
        <v>27</v>
      </c>
      <c r="G6" t="s">
        <v>32</v>
      </c>
      <c r="H6" s="1">
        <v>166000000</v>
      </c>
    </row>
    <row r="7" spans="3:11" ht="19.5" x14ac:dyDescent="0.6">
      <c r="C7" s="5" t="s">
        <v>14</v>
      </c>
      <c r="D7" s="4">
        <v>0</v>
      </c>
      <c r="E7" s="16">
        <v>0</v>
      </c>
      <c r="G7" s="20" t="s">
        <v>31</v>
      </c>
      <c r="H7" s="1">
        <f>(D5*0.8+D10+D11*0.8+D14+D15+D16*0.8+D19*0.8)*1000</f>
        <v>680348000</v>
      </c>
      <c r="J7" s="2"/>
    </row>
    <row r="8" spans="3:11" ht="19.5" x14ac:dyDescent="0.6">
      <c r="C8" s="5" t="s">
        <v>13</v>
      </c>
      <c r="D8" s="4">
        <v>11424</v>
      </c>
      <c r="E8" s="16">
        <v>0</v>
      </c>
      <c r="F8" t="s">
        <v>27</v>
      </c>
      <c r="G8" s="20" t="s">
        <v>29</v>
      </c>
      <c r="H8" s="1">
        <v>748830000</v>
      </c>
      <c r="J8" t="s">
        <v>30</v>
      </c>
      <c r="K8" s="2">
        <f>H7-H8</f>
        <v>-68482000</v>
      </c>
    </row>
    <row r="9" spans="3:11" ht="19.5" x14ac:dyDescent="0.6">
      <c r="C9" s="5" t="s">
        <v>15</v>
      </c>
      <c r="D9" s="4">
        <v>29071</v>
      </c>
      <c r="E9" s="16">
        <v>0</v>
      </c>
      <c r="F9" t="s">
        <v>27</v>
      </c>
      <c r="G9" s="20" t="s">
        <v>62</v>
      </c>
      <c r="H9" s="1">
        <f>H6-H7+H8</f>
        <v>234482000</v>
      </c>
      <c r="I9" s="13"/>
      <c r="J9" s="2"/>
    </row>
    <row r="10" spans="3:11" x14ac:dyDescent="0.45">
      <c r="C10" s="5" t="s">
        <v>16</v>
      </c>
      <c r="D10" s="4">
        <v>2308</v>
      </c>
      <c r="E10" s="14">
        <v>1</v>
      </c>
      <c r="H10" s="1"/>
    </row>
    <row r="11" spans="3:11" x14ac:dyDescent="0.45">
      <c r="C11" s="5" t="s">
        <v>25</v>
      </c>
      <c r="D11" s="4">
        <v>15315</v>
      </c>
      <c r="E11" s="14">
        <v>0.8</v>
      </c>
      <c r="F11" t="s">
        <v>27</v>
      </c>
      <c r="H11" s="1"/>
    </row>
    <row r="12" spans="3:11" x14ac:dyDescent="0.45">
      <c r="C12" s="8" t="s">
        <v>17</v>
      </c>
      <c r="D12" s="7">
        <f>SUM(D5:D11)</f>
        <v>506161</v>
      </c>
      <c r="E12" s="17"/>
      <c r="H12" s="1"/>
    </row>
    <row r="13" spans="3:11" x14ac:dyDescent="0.45">
      <c r="C13" s="15" t="s">
        <v>18</v>
      </c>
      <c r="D13" s="4"/>
      <c r="H13" s="1"/>
    </row>
    <row r="14" spans="3:11" x14ac:dyDescent="0.45">
      <c r="C14" s="5" t="s">
        <v>19</v>
      </c>
      <c r="D14" s="4">
        <v>152073</v>
      </c>
      <c r="E14" s="14">
        <v>1</v>
      </c>
      <c r="H14" s="1"/>
    </row>
    <row r="15" spans="3:11" x14ac:dyDescent="0.45">
      <c r="C15" s="5" t="s">
        <v>20</v>
      </c>
      <c r="D15" s="4">
        <v>209003</v>
      </c>
      <c r="E15" s="14">
        <v>1</v>
      </c>
      <c r="H15" s="1"/>
    </row>
    <row r="16" spans="3:11" x14ac:dyDescent="0.45">
      <c r="C16" s="5" t="s">
        <v>22</v>
      </c>
      <c r="D16" s="4">
        <v>23749</v>
      </c>
      <c r="E16" s="14">
        <v>0.8</v>
      </c>
      <c r="H16" s="1"/>
    </row>
    <row r="17" spans="3:8" x14ac:dyDescent="0.45">
      <c r="C17" s="5" t="s">
        <v>23</v>
      </c>
      <c r="D17" s="4">
        <v>30841</v>
      </c>
      <c r="E17" s="16">
        <v>0</v>
      </c>
      <c r="H17" s="1"/>
    </row>
    <row r="18" spans="3:8" x14ac:dyDescent="0.45">
      <c r="C18" s="5" t="s">
        <v>61</v>
      </c>
      <c r="D18" s="4">
        <v>24706</v>
      </c>
      <c r="H18" s="1"/>
    </row>
    <row r="19" spans="3:8" x14ac:dyDescent="0.45">
      <c r="C19" s="5" t="s">
        <v>24</v>
      </c>
      <c r="D19" s="4">
        <v>86980</v>
      </c>
      <c r="E19" s="14">
        <v>0.8</v>
      </c>
      <c r="H19" s="1"/>
    </row>
    <row r="20" spans="3:8" x14ac:dyDescent="0.45">
      <c r="C20" s="8" t="s">
        <v>26</v>
      </c>
      <c r="D20" s="7">
        <f>SUM(D14:D19)</f>
        <v>527352</v>
      </c>
      <c r="E20" s="17"/>
      <c r="H20" s="1"/>
    </row>
    <row r="21" spans="3:8" ht="14.65" thickBot="1" x14ac:dyDescent="0.5">
      <c r="C21" s="10" t="s">
        <v>28</v>
      </c>
      <c r="D21" s="18">
        <f>D20+D12</f>
        <v>1033513</v>
      </c>
      <c r="E21" s="19"/>
    </row>
    <row r="22" spans="3:8" ht="14.65" thickTop="1" x14ac:dyDescent="0.4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AECE-522F-4D1A-8264-7992B4784C0C}">
  <dimension ref="B3:AK41"/>
  <sheetViews>
    <sheetView tabSelected="1" topLeftCell="F5" workbookViewId="0">
      <selection activeCell="W25" sqref="W25"/>
    </sheetView>
  </sheetViews>
  <sheetFormatPr defaultRowHeight="14.25" x14ac:dyDescent="0.45"/>
  <cols>
    <col min="3" max="3" width="20.796875" bestFit="1" customWidth="1"/>
    <col min="6" max="6" width="9.73046875" bestFit="1" customWidth="1"/>
    <col min="7" max="7" width="12.86328125" customWidth="1"/>
    <col min="8" max="8" width="13.1328125" customWidth="1"/>
    <col min="13" max="13" width="10.86328125" bestFit="1" customWidth="1"/>
  </cols>
  <sheetData>
    <row r="3" spans="2:15" x14ac:dyDescent="0.45"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</row>
    <row r="4" spans="2:15" x14ac:dyDescent="0.45">
      <c r="C4" s="28" t="s">
        <v>33</v>
      </c>
      <c r="D4" s="29">
        <v>202244</v>
      </c>
      <c r="E4" s="29">
        <v>194721</v>
      </c>
      <c r="F4" s="29">
        <v>164739</v>
      </c>
      <c r="G4" s="29">
        <f>766897-F4-E4-D4</f>
        <v>205193</v>
      </c>
      <c r="H4" s="29">
        <v>187601</v>
      </c>
      <c r="I4" s="29">
        <v>182853</v>
      </c>
      <c r="J4" s="29">
        <v>157854</v>
      </c>
      <c r="K4" s="29">
        <f>716295-J4-I4-H4</f>
        <v>187987</v>
      </c>
      <c r="L4" s="29">
        <v>174350</v>
      </c>
      <c r="M4" s="29">
        <v>163147</v>
      </c>
      <c r="N4" s="29">
        <v>136593</v>
      </c>
      <c r="O4" s="29"/>
    </row>
    <row r="5" spans="2:15" x14ac:dyDescent="0.45">
      <c r="C5" s="12" t="s">
        <v>46</v>
      </c>
      <c r="D5" s="26">
        <v>55085</v>
      </c>
      <c r="E5" s="26">
        <v>45684</v>
      </c>
      <c r="F5" s="26">
        <v>45203</v>
      </c>
      <c r="G5" s="26">
        <f>197396-F5-E5-D5</f>
        <v>51424</v>
      </c>
      <c r="H5" s="26">
        <v>49150</v>
      </c>
      <c r="I5" s="26">
        <v>47412</v>
      </c>
      <c r="J5" s="26">
        <v>83575</v>
      </c>
      <c r="K5" s="26">
        <f>225941-J5-I5-H5</f>
        <v>45804</v>
      </c>
      <c r="L5" s="26">
        <v>46497</v>
      </c>
      <c r="M5" s="26">
        <v>45411</v>
      </c>
      <c r="N5" s="26">
        <v>43420</v>
      </c>
      <c r="O5" s="26"/>
    </row>
    <row r="6" spans="2:15" x14ac:dyDescent="0.45">
      <c r="C6" s="21" t="s">
        <v>47</v>
      </c>
      <c r="D6" s="22">
        <f t="shared" ref="D6:L6" si="0">D4-D5</f>
        <v>147159</v>
      </c>
      <c r="E6" s="22">
        <f t="shared" si="0"/>
        <v>149037</v>
      </c>
      <c r="F6" s="22">
        <f t="shared" si="0"/>
        <v>119536</v>
      </c>
      <c r="G6" s="22">
        <f t="shared" si="0"/>
        <v>153769</v>
      </c>
      <c r="H6" s="22">
        <f t="shared" si="0"/>
        <v>138451</v>
      </c>
      <c r="I6" s="22">
        <f t="shared" si="0"/>
        <v>135441</v>
      </c>
      <c r="J6" s="22">
        <f t="shared" si="0"/>
        <v>74279</v>
      </c>
      <c r="K6" s="22">
        <f t="shared" si="0"/>
        <v>142183</v>
      </c>
      <c r="L6" s="22">
        <f t="shared" si="0"/>
        <v>127853</v>
      </c>
      <c r="M6" s="22">
        <f>M4-M5</f>
        <v>117736</v>
      </c>
      <c r="N6" s="22">
        <v>93173</v>
      </c>
      <c r="O6" s="22"/>
    </row>
    <row r="7" spans="2:15" x14ac:dyDescent="0.45">
      <c r="C7" s="12" t="s">
        <v>48</v>
      </c>
      <c r="D7" s="26">
        <v>141783</v>
      </c>
      <c r="E7" s="26">
        <v>141694</v>
      </c>
      <c r="F7" s="26">
        <v>130971</v>
      </c>
      <c r="G7" s="26">
        <f>560544-F7-E7-D7</f>
        <v>146096</v>
      </c>
      <c r="H7" s="26">
        <v>142897</v>
      </c>
      <c r="I7" s="26">
        <v>154137</v>
      </c>
      <c r="J7" s="26">
        <v>132149</v>
      </c>
      <c r="K7" s="26">
        <f>558079-J7-I7-H7</f>
        <v>128896</v>
      </c>
      <c r="L7" s="26">
        <v>130344</v>
      </c>
      <c r="M7" s="26">
        <f>602743</f>
        <v>602743</v>
      </c>
      <c r="N7" s="26">
        <v>315463</v>
      </c>
      <c r="O7" s="26"/>
    </row>
    <row r="8" spans="2:15" x14ac:dyDescent="0.45">
      <c r="B8" s="23" t="s">
        <v>59</v>
      </c>
      <c r="C8" s="21" t="s">
        <v>49</v>
      </c>
      <c r="D8" s="22">
        <v>52415</v>
      </c>
      <c r="E8" s="22">
        <v>52480</v>
      </c>
      <c r="F8" s="22">
        <v>45426</v>
      </c>
      <c r="G8" s="22">
        <f>196637-F8-D8-E8</f>
        <v>46316</v>
      </c>
      <c r="H8" s="22">
        <v>46907</v>
      </c>
      <c r="I8" s="22">
        <v>52872</v>
      </c>
      <c r="J8" s="22">
        <v>46202</v>
      </c>
      <c r="K8" s="22">
        <f>191705-I8-H8-J8</f>
        <v>45724</v>
      </c>
      <c r="L8" s="22">
        <v>44435</v>
      </c>
      <c r="M8" s="22">
        <v>43651</v>
      </c>
      <c r="N8" s="22">
        <v>41337</v>
      </c>
      <c r="O8" s="22"/>
    </row>
    <row r="9" spans="2:15" x14ac:dyDescent="0.45">
      <c r="B9" s="23" t="s">
        <v>59</v>
      </c>
      <c r="C9" t="s">
        <v>50</v>
      </c>
      <c r="D9" s="1">
        <v>42498</v>
      </c>
      <c r="E9" s="1">
        <v>35279</v>
      </c>
      <c r="F9" s="1">
        <v>31803</v>
      </c>
      <c r="G9" s="1">
        <f>147660-F9-E9-D9</f>
        <v>38080</v>
      </c>
      <c r="H9" s="1">
        <v>37017</v>
      </c>
      <c r="I9" s="1">
        <v>30956</v>
      </c>
      <c r="J9" s="1">
        <v>28872</v>
      </c>
      <c r="K9" s="1">
        <f>126591-J9-I9-H9</f>
        <v>29746</v>
      </c>
      <c r="L9" s="1">
        <v>30375</v>
      </c>
      <c r="M9" s="1">
        <v>23545</v>
      </c>
      <c r="N9" s="1">
        <v>26508</v>
      </c>
      <c r="O9" s="1"/>
    </row>
    <row r="10" spans="2:15" x14ac:dyDescent="0.45">
      <c r="B10" s="23" t="s">
        <v>59</v>
      </c>
      <c r="C10" s="21" t="s">
        <v>51</v>
      </c>
      <c r="D10" s="22">
        <v>46870</v>
      </c>
      <c r="E10" s="22">
        <v>53935</v>
      </c>
      <c r="F10" s="22">
        <v>53742</v>
      </c>
      <c r="G10" s="22">
        <f>216247-F10-E10-D10</f>
        <v>61700</v>
      </c>
      <c r="H10" s="22">
        <v>58973</v>
      </c>
      <c r="I10" s="22">
        <v>70309</v>
      </c>
      <c r="J10" s="22">
        <v>57075</v>
      </c>
      <c r="K10" s="22">
        <f>239783-I10-J10-H10</f>
        <v>53426</v>
      </c>
      <c r="L10" s="22">
        <v>55534</v>
      </c>
      <c r="M10" s="22">
        <v>54016</v>
      </c>
      <c r="N10" s="22">
        <v>51910</v>
      </c>
      <c r="O10" s="22"/>
    </row>
    <row r="11" spans="2:15" x14ac:dyDescent="0.45">
      <c r="B11" s="23" t="s">
        <v>59</v>
      </c>
      <c r="C11" s="12" t="s">
        <v>52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7">
        <v>0</v>
      </c>
      <c r="J11" s="26">
        <v>0</v>
      </c>
      <c r="K11" s="26">
        <v>0</v>
      </c>
      <c r="L11" s="26">
        <v>0</v>
      </c>
      <c r="M11" s="26">
        <v>481531</v>
      </c>
      <c r="N11" s="26">
        <v>195708</v>
      </c>
      <c r="O11" s="26"/>
    </row>
    <row r="12" spans="2:15" x14ac:dyDescent="0.45">
      <c r="C12" s="21" t="s">
        <v>55</v>
      </c>
      <c r="D12" s="22">
        <f t="shared" ref="D12:H12" si="1">D6-D7</f>
        <v>5376</v>
      </c>
      <c r="E12" s="22">
        <f t="shared" si="1"/>
        <v>7343</v>
      </c>
      <c r="F12" s="22">
        <f t="shared" si="1"/>
        <v>-11435</v>
      </c>
      <c r="G12" s="22">
        <f t="shared" si="1"/>
        <v>7673</v>
      </c>
      <c r="H12" s="22">
        <f t="shared" si="1"/>
        <v>-4446</v>
      </c>
      <c r="I12" s="22">
        <f>I6-I7</f>
        <v>-18696</v>
      </c>
      <c r="J12" s="22">
        <f>J6-J7</f>
        <v>-57870</v>
      </c>
      <c r="K12" s="22">
        <f t="shared" ref="K12:M12" si="2">K6-K7</f>
        <v>13287</v>
      </c>
      <c r="L12" s="22">
        <f t="shared" si="2"/>
        <v>-2491</v>
      </c>
      <c r="M12" s="22">
        <f t="shared" si="2"/>
        <v>-485007</v>
      </c>
      <c r="N12" s="22">
        <v>-222290</v>
      </c>
      <c r="O12" s="22"/>
    </row>
    <row r="13" spans="2:15" x14ac:dyDescent="0.45">
      <c r="C13" t="s">
        <v>53</v>
      </c>
      <c r="D13" s="1">
        <v>-1597</v>
      </c>
      <c r="E13" s="1">
        <v>-1616</v>
      </c>
      <c r="F13" s="1">
        <v>-1525</v>
      </c>
      <c r="G13" s="1">
        <f>-6040-F13-E13-D13</f>
        <v>-1302</v>
      </c>
      <c r="H13" s="1">
        <v>-1268</v>
      </c>
      <c r="I13" s="1">
        <v>-1114</v>
      </c>
      <c r="J13" s="1">
        <v>-733</v>
      </c>
      <c r="K13" s="1">
        <f>-3773-J13-I13-H13</f>
        <v>-658</v>
      </c>
      <c r="L13" s="1">
        <v>-650</v>
      </c>
      <c r="M13" s="1">
        <v>-651</v>
      </c>
      <c r="N13" s="1">
        <v>-658</v>
      </c>
      <c r="O13" s="1"/>
    </row>
    <row r="14" spans="2:15" x14ac:dyDescent="0.45">
      <c r="C14" s="21" t="s">
        <v>54</v>
      </c>
      <c r="D14" s="22">
        <v>6180</v>
      </c>
      <c r="E14" s="22">
        <v>1809</v>
      </c>
      <c r="F14" s="22">
        <v>97258</v>
      </c>
      <c r="G14" s="22">
        <f>101029-F14-E14-D14</f>
        <v>-4218</v>
      </c>
      <c r="H14" s="22">
        <v>12076</v>
      </c>
      <c r="I14" s="22">
        <v>64103</v>
      </c>
      <c r="J14" s="22">
        <v>40492</v>
      </c>
      <c r="K14" s="22">
        <f>121810-H14-I14-J14</f>
        <v>5139</v>
      </c>
      <c r="L14" s="22">
        <v>10780</v>
      </c>
      <c r="M14" s="22">
        <v>7119</v>
      </c>
      <c r="N14" s="22">
        <v>7586</v>
      </c>
      <c r="O14" s="22"/>
    </row>
    <row r="15" spans="2:15" x14ac:dyDescent="0.45">
      <c r="C15" t="s">
        <v>56</v>
      </c>
      <c r="D15" s="1">
        <f t="shared" ref="D15:H15" si="3">D12+D13+D14</f>
        <v>9959</v>
      </c>
      <c r="E15" s="1">
        <f t="shared" si="3"/>
        <v>7536</v>
      </c>
      <c r="F15" s="1">
        <f t="shared" si="3"/>
        <v>84298</v>
      </c>
      <c r="G15" s="1">
        <f t="shared" si="3"/>
        <v>2153</v>
      </c>
      <c r="H15" s="1">
        <f t="shared" si="3"/>
        <v>6362</v>
      </c>
      <c r="I15" s="1">
        <f>I12+I13+I14</f>
        <v>44293</v>
      </c>
      <c r="J15" s="1">
        <f t="shared" ref="J15:M15" si="4">J12+J13+J14</f>
        <v>-18111</v>
      </c>
      <c r="K15" s="1">
        <f t="shared" si="4"/>
        <v>17768</v>
      </c>
      <c r="L15" s="1">
        <f t="shared" si="4"/>
        <v>7639</v>
      </c>
      <c r="M15" s="1">
        <f t="shared" si="4"/>
        <v>-478539</v>
      </c>
      <c r="N15" s="1">
        <v>-215362</v>
      </c>
      <c r="O15" s="1"/>
    </row>
    <row r="16" spans="2:15" x14ac:dyDescent="0.45">
      <c r="C16" s="21" t="s">
        <v>57</v>
      </c>
      <c r="D16" s="22">
        <v>-4217</v>
      </c>
      <c r="E16" s="22">
        <v>-60</v>
      </c>
      <c r="F16" s="22">
        <v>167264</v>
      </c>
      <c r="G16" s="22">
        <f>162692-F16-E16-D16</f>
        <v>-295</v>
      </c>
      <c r="H16" s="22">
        <v>-4176</v>
      </c>
      <c r="I16" s="22">
        <v>-19681</v>
      </c>
      <c r="J16" s="22">
        <v>-172</v>
      </c>
      <c r="K16" s="22">
        <f>-32132-J16-I16-H16</f>
        <v>-8103</v>
      </c>
      <c r="L16" s="22">
        <v>-9059</v>
      </c>
      <c r="M16" s="22">
        <v>-138345</v>
      </c>
      <c r="N16" s="22">
        <v>2723</v>
      </c>
      <c r="O16" s="22"/>
    </row>
    <row r="17" spans="3:37" x14ac:dyDescent="0.45">
      <c r="C17" s="12" t="s">
        <v>58</v>
      </c>
      <c r="D17" s="26">
        <f t="shared" ref="D17:L17" si="5">D15+D16</f>
        <v>5742</v>
      </c>
      <c r="E17" s="26">
        <f t="shared" si="5"/>
        <v>7476</v>
      </c>
      <c r="F17" s="26">
        <f t="shared" si="5"/>
        <v>251562</v>
      </c>
      <c r="G17" s="26">
        <f t="shared" si="5"/>
        <v>1858</v>
      </c>
      <c r="H17" s="26">
        <f t="shared" si="5"/>
        <v>2186</v>
      </c>
      <c r="I17" s="26">
        <f t="shared" si="5"/>
        <v>24612</v>
      </c>
      <c r="J17" s="26">
        <f t="shared" si="5"/>
        <v>-18283</v>
      </c>
      <c r="K17" s="26">
        <f t="shared" si="5"/>
        <v>9665</v>
      </c>
      <c r="L17" s="26">
        <f t="shared" si="5"/>
        <v>-1420</v>
      </c>
      <c r="M17" s="26">
        <f>M15+M16</f>
        <v>-616884</v>
      </c>
      <c r="N17" s="26">
        <f>N15+N16</f>
        <v>-212639</v>
      </c>
      <c r="O17" s="2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3:37" x14ac:dyDescent="0.45">
      <c r="C18" s="21" t="s">
        <v>60</v>
      </c>
      <c r="D18" s="25">
        <f>D17/100000</f>
        <v>5.7419999999999999E-2</v>
      </c>
      <c r="E18" s="25">
        <f t="shared" ref="E18:M18" si="6">E17/100000</f>
        <v>7.4759999999999993E-2</v>
      </c>
      <c r="F18" s="25">
        <f t="shared" si="6"/>
        <v>2.5156200000000002</v>
      </c>
      <c r="G18" s="25">
        <f t="shared" si="6"/>
        <v>1.8579999999999999E-2</v>
      </c>
      <c r="H18" s="25">
        <f t="shared" si="6"/>
        <v>2.1860000000000001E-2</v>
      </c>
      <c r="I18" s="25">
        <f t="shared" si="6"/>
        <v>0.24612000000000001</v>
      </c>
      <c r="J18" s="25">
        <f t="shared" si="6"/>
        <v>-0.18282999999999999</v>
      </c>
      <c r="K18" s="25">
        <f t="shared" si="6"/>
        <v>9.665E-2</v>
      </c>
      <c r="L18" s="25">
        <f t="shared" si="6"/>
        <v>-1.4200000000000001E-2</v>
      </c>
      <c r="M18" s="25">
        <f t="shared" si="6"/>
        <v>-6.1688400000000003</v>
      </c>
      <c r="N18" s="25">
        <v>-2.0499999999999998</v>
      </c>
      <c r="O18" s="25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20" spans="3:37" x14ac:dyDescent="0.45">
      <c r="D20">
        <v>2010</v>
      </c>
      <c r="E20">
        <v>2011</v>
      </c>
      <c r="F20">
        <v>2012</v>
      </c>
      <c r="G20">
        <v>2013</v>
      </c>
      <c r="H20">
        <v>2014</v>
      </c>
      <c r="I20">
        <v>2015</v>
      </c>
      <c r="J20">
        <v>2016</v>
      </c>
      <c r="K20" s="2">
        <v>2017</v>
      </c>
      <c r="L20" s="30">
        <v>2018</v>
      </c>
      <c r="M20" s="30">
        <v>2019</v>
      </c>
      <c r="N20" s="30">
        <v>2020</v>
      </c>
      <c r="O20" s="30">
        <v>2021</v>
      </c>
      <c r="P20" s="30">
        <v>2022</v>
      </c>
      <c r="Q20" s="30">
        <v>2023</v>
      </c>
      <c r="R20" t="s">
        <v>42</v>
      </c>
      <c r="S20" t="s">
        <v>43</v>
      </c>
      <c r="T20" t="s">
        <v>44</v>
      </c>
      <c r="U20" t="s">
        <v>45</v>
      </c>
    </row>
    <row r="21" spans="3:37" x14ac:dyDescent="0.45">
      <c r="C21" s="12" t="s">
        <v>63</v>
      </c>
      <c r="D21" s="12">
        <v>55.87</v>
      </c>
      <c r="E21" s="12">
        <v>32.75</v>
      </c>
      <c r="F21" s="12">
        <v>54.68</v>
      </c>
      <c r="G21" s="12">
        <v>63.71</v>
      </c>
      <c r="H21" s="12">
        <v>68.47</v>
      </c>
      <c r="I21" s="12">
        <v>-8.2000000000000003E-2</v>
      </c>
      <c r="J21" s="12">
        <v>24.94</v>
      </c>
      <c r="K21" s="12">
        <v>51.15</v>
      </c>
      <c r="L21" s="12">
        <v>75.11</v>
      </c>
      <c r="M21" s="12">
        <v>113.4</v>
      </c>
      <c r="N21" s="12">
        <v>236.44</v>
      </c>
      <c r="O21" s="12">
        <v>273.22000000000003</v>
      </c>
      <c r="P21" s="12">
        <v>255.74</v>
      </c>
      <c r="Q21" s="12">
        <v>246.2</v>
      </c>
      <c r="R21" s="12">
        <v>53.32</v>
      </c>
      <c r="S21" s="12">
        <v>14.23</v>
      </c>
      <c r="T21" s="12">
        <v>39.53</v>
      </c>
    </row>
    <row r="22" spans="3:37" x14ac:dyDescent="0.45">
      <c r="C22" t="s">
        <v>64</v>
      </c>
      <c r="D22">
        <v>-115.27</v>
      </c>
      <c r="E22">
        <v>-59.93</v>
      </c>
      <c r="F22">
        <v>-88.1</v>
      </c>
      <c r="G22">
        <v>-153.09</v>
      </c>
      <c r="H22">
        <v>-87.35</v>
      </c>
      <c r="I22">
        <v>8.27</v>
      </c>
      <c r="J22">
        <v>-5.96</v>
      </c>
      <c r="K22">
        <v>-136.22999999999999</v>
      </c>
      <c r="L22">
        <v>-82.55</v>
      </c>
      <c r="M22">
        <v>-703.43</v>
      </c>
      <c r="N22">
        <v>-732.79</v>
      </c>
      <c r="O22">
        <v>-365.77</v>
      </c>
      <c r="P22">
        <v>104.89</v>
      </c>
      <c r="Q22">
        <v>268.67</v>
      </c>
      <c r="R22">
        <v>-40.81</v>
      </c>
      <c r="S22">
        <v>-23.28</v>
      </c>
      <c r="T22">
        <v>-19.37</v>
      </c>
    </row>
    <row r="23" spans="3:37" x14ac:dyDescent="0.45">
      <c r="C23" t="s">
        <v>65</v>
      </c>
      <c r="D23">
        <v>83.05</v>
      </c>
      <c r="E23">
        <v>-8.75</v>
      </c>
      <c r="F23">
        <v>19.850000000000001</v>
      </c>
      <c r="G23">
        <v>145.22</v>
      </c>
      <c r="H23">
        <v>-1.87</v>
      </c>
      <c r="I23">
        <v>2.72</v>
      </c>
      <c r="J23">
        <v>-8.68</v>
      </c>
      <c r="K23">
        <v>134.21</v>
      </c>
      <c r="L23">
        <v>256.42</v>
      </c>
      <c r="M23">
        <v>603.51</v>
      </c>
      <c r="N23">
        <v>588.63</v>
      </c>
      <c r="O23">
        <v>466.72</v>
      </c>
      <c r="P23">
        <v>-744.8</v>
      </c>
      <c r="Q23">
        <v>-852.77</v>
      </c>
      <c r="R23">
        <v>-4.29</v>
      </c>
      <c r="S23">
        <v>-1.34</v>
      </c>
      <c r="T23">
        <v>-0.82199999999999995</v>
      </c>
    </row>
    <row r="24" spans="3:37" x14ac:dyDescent="0.45">
      <c r="C24" t="s">
        <v>66</v>
      </c>
      <c r="D24" s="2">
        <v>-4.43</v>
      </c>
      <c r="E24">
        <v>-2.71</v>
      </c>
      <c r="F24">
        <v>-15.15</v>
      </c>
      <c r="G24">
        <v>-7.37</v>
      </c>
      <c r="H24">
        <v>-5.08</v>
      </c>
      <c r="I24">
        <v>-8.25</v>
      </c>
      <c r="J24">
        <v>-24.69</v>
      </c>
      <c r="K24">
        <v>-26.14</v>
      </c>
      <c r="L24">
        <v>-31.22</v>
      </c>
      <c r="M24">
        <v>-42.33</v>
      </c>
      <c r="N24">
        <v>-81.319999999999993</v>
      </c>
      <c r="O24">
        <v>-94.18</v>
      </c>
      <c r="P24">
        <v>-103.09</v>
      </c>
      <c r="Q24">
        <v>-83.05</v>
      </c>
      <c r="R24">
        <v>-28.02</v>
      </c>
      <c r="S24">
        <v>-17.8</v>
      </c>
      <c r="T24">
        <v>-15.84</v>
      </c>
    </row>
    <row r="25" spans="3:37" x14ac:dyDescent="0.45">
      <c r="C25" s="12" t="s">
        <v>67</v>
      </c>
      <c r="D25" s="31">
        <f>D21+D24</f>
        <v>51.44</v>
      </c>
      <c r="E25" s="31">
        <f t="shared" ref="E25:U25" si="7">E21+E24</f>
        <v>30.04</v>
      </c>
      <c r="F25" s="31">
        <f t="shared" si="7"/>
        <v>39.53</v>
      </c>
      <c r="G25" s="31">
        <f t="shared" si="7"/>
        <v>56.34</v>
      </c>
      <c r="H25" s="31">
        <f t="shared" si="7"/>
        <v>63.39</v>
      </c>
      <c r="I25" s="31">
        <f t="shared" si="7"/>
        <v>-8.3320000000000007</v>
      </c>
      <c r="J25" s="31">
        <f t="shared" si="7"/>
        <v>0.25</v>
      </c>
      <c r="K25" s="31">
        <f t="shared" si="7"/>
        <v>25.009999999999998</v>
      </c>
      <c r="L25" s="31">
        <f t="shared" si="7"/>
        <v>43.89</v>
      </c>
      <c r="M25" s="31">
        <f t="shared" si="7"/>
        <v>71.070000000000007</v>
      </c>
      <c r="N25" s="31">
        <f t="shared" si="7"/>
        <v>155.12</v>
      </c>
      <c r="O25" s="31">
        <f t="shared" si="7"/>
        <v>179.04000000000002</v>
      </c>
      <c r="P25" s="31">
        <f t="shared" si="7"/>
        <v>152.65</v>
      </c>
      <c r="Q25" s="31">
        <f t="shared" si="7"/>
        <v>163.14999999999998</v>
      </c>
      <c r="R25" s="31">
        <f t="shared" si="7"/>
        <v>25.3</v>
      </c>
      <c r="S25" s="31">
        <f t="shared" si="7"/>
        <v>-3.5700000000000003</v>
      </c>
      <c r="T25" s="31">
        <f t="shared" si="7"/>
        <v>23.69</v>
      </c>
      <c r="U25" s="31">
        <f t="shared" si="7"/>
        <v>0</v>
      </c>
    </row>
    <row r="26" spans="3:37" x14ac:dyDescent="0.45">
      <c r="D26" s="2"/>
      <c r="F26" s="24"/>
    </row>
    <row r="27" spans="3:37" x14ac:dyDescent="0.45">
      <c r="D27" s="2"/>
      <c r="F27" t="s">
        <v>68</v>
      </c>
    </row>
    <row r="28" spans="3:37" x14ac:dyDescent="0.45">
      <c r="D28" s="2"/>
    </row>
    <row r="29" spans="3:37" x14ac:dyDescent="0.45">
      <c r="D29" s="2"/>
    </row>
    <row r="30" spans="3:37" x14ac:dyDescent="0.45">
      <c r="D30" s="2"/>
    </row>
    <row r="31" spans="3:37" x14ac:dyDescent="0.45">
      <c r="D31" s="2"/>
    </row>
    <row r="32" spans="3:37" x14ac:dyDescent="0.45">
      <c r="D32" s="2"/>
    </row>
    <row r="33" spans="4:4" x14ac:dyDescent="0.45">
      <c r="D33" s="2"/>
    </row>
    <row r="34" spans="4:4" x14ac:dyDescent="0.45">
      <c r="D34" s="2"/>
    </row>
    <row r="35" spans="4:4" x14ac:dyDescent="0.45">
      <c r="D35" s="2"/>
    </row>
    <row r="36" spans="4:4" x14ac:dyDescent="0.45">
      <c r="D36" s="2"/>
    </row>
    <row r="37" spans="4:4" x14ac:dyDescent="0.45">
      <c r="D37" s="2"/>
    </row>
    <row r="38" spans="4:4" x14ac:dyDescent="0.45">
      <c r="D38" s="2"/>
    </row>
    <row r="39" spans="4:4" x14ac:dyDescent="0.45">
      <c r="D39" s="2"/>
    </row>
    <row r="40" spans="4:4" x14ac:dyDescent="0.45">
      <c r="D40" s="2"/>
    </row>
    <row r="41" spans="4:4" x14ac:dyDescent="0.45">
      <c r="D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CHGG</vt:lpstr>
      <vt:lpstr>Balance Sheet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2024-11-17T16:26:03Z</dcterms:modified>
</cp:coreProperties>
</file>