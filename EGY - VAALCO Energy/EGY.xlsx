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EGY - VAALCO Energy/"/>
    </mc:Choice>
  </mc:AlternateContent>
  <xr:revisionPtr revIDLastSave="836" documentId="11_AD4DF034E34935FBC521DCE2FF5B45405ADEDD89" xr6:coauthVersionLast="47" xr6:coauthVersionMax="47" xr10:uidLastSave="{16F48E37-ABCA-4E5D-94EF-5C9448E8AEE1}"/>
  <bookViews>
    <workbookView xWindow="-98" yWindow="-98" windowWidth="20715" windowHeight="13155" activeTab="2" xr2:uid="{00000000-000D-0000-FFFF-FFFF00000000}"/>
  </bookViews>
  <sheets>
    <sheet name="EGY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3" l="1"/>
  <c r="G40" i="3"/>
  <c r="G37" i="3"/>
  <c r="F37" i="3"/>
  <c r="E37" i="3"/>
  <c r="G36" i="3"/>
  <c r="F36" i="3"/>
  <c r="E36" i="3"/>
  <c r="T36" i="3"/>
  <c r="S36" i="3"/>
  <c r="R36" i="3"/>
  <c r="Q36" i="3"/>
  <c r="P36" i="3"/>
  <c r="O36" i="3"/>
  <c r="N36" i="3"/>
  <c r="M36" i="3"/>
  <c r="L36" i="3"/>
  <c r="K36" i="3"/>
  <c r="J36" i="3"/>
  <c r="I36" i="3"/>
  <c r="K37" i="3"/>
  <c r="T37" i="3"/>
  <c r="S37" i="3"/>
  <c r="R37" i="3"/>
  <c r="Q37" i="3"/>
  <c r="P37" i="3"/>
  <c r="O37" i="3"/>
  <c r="N37" i="3"/>
  <c r="M37" i="3"/>
  <c r="L37" i="3"/>
  <c r="J37" i="3"/>
  <c r="I37" i="3"/>
  <c r="H37" i="3"/>
  <c r="H36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AD39" i="3" s="1"/>
  <c r="AE39" i="3" s="1"/>
  <c r="AF39" i="3" s="1"/>
  <c r="AG39" i="3" s="1"/>
  <c r="AH39" i="3" s="1"/>
  <c r="AI39" i="3" s="1"/>
  <c r="AJ39" i="3" s="1"/>
  <c r="AK39" i="3" s="1"/>
  <c r="AL39" i="3" s="1"/>
  <c r="AM39" i="3" s="1"/>
  <c r="AN39" i="3" s="1"/>
  <c r="AO39" i="3" s="1"/>
  <c r="AP39" i="3" s="1"/>
  <c r="AQ39" i="3" s="1"/>
  <c r="H28" i="3"/>
  <c r="E22" i="3"/>
  <c r="E24" i="3" s="1"/>
  <c r="E15" i="3"/>
  <c r="M15" i="3"/>
  <c r="H15" i="3"/>
  <c r="H17" i="3"/>
  <c r="P15" i="3"/>
  <c r="O15" i="3"/>
  <c r="N15" i="3"/>
  <c r="L15" i="3"/>
  <c r="K15" i="3"/>
  <c r="J15" i="3"/>
  <c r="I15" i="3"/>
  <c r="F15" i="3"/>
  <c r="G15" i="3"/>
  <c r="L22" i="3"/>
  <c r="L24" i="3" s="1"/>
  <c r="M22" i="3"/>
  <c r="M24" i="3" s="1"/>
  <c r="J22" i="3"/>
  <c r="J24" i="3" s="1"/>
  <c r="I22" i="3"/>
  <c r="I24" i="3" s="1"/>
  <c r="H22" i="3"/>
  <c r="H24" i="3" s="1"/>
  <c r="F22" i="3"/>
  <c r="F24" i="3" s="1"/>
  <c r="G22" i="3"/>
  <c r="G24" i="3" s="1"/>
  <c r="O22" i="3"/>
  <c r="O24" i="3" s="1"/>
  <c r="K22" i="3"/>
  <c r="K24" i="3" s="1"/>
  <c r="N22" i="3"/>
  <c r="N24" i="3" s="1"/>
  <c r="K6" i="2"/>
  <c r="K3" i="2"/>
  <c r="E21" i="2"/>
  <c r="E12" i="2"/>
  <c r="E8" i="1"/>
  <c r="E5" i="1"/>
  <c r="E28" i="3" l="1"/>
  <c r="G42" i="3"/>
</calcChain>
</file>

<file path=xl/sharedStrings.xml><?xml version="1.0" encoding="utf-8"?>
<sst xmlns="http://schemas.openxmlformats.org/spreadsheetml/2006/main" count="82" uniqueCount="81">
  <si>
    <t>Ticker</t>
  </si>
  <si>
    <t>$EGY</t>
  </si>
  <si>
    <t>Price</t>
  </si>
  <si>
    <t>S O/s</t>
  </si>
  <si>
    <t>MC</t>
  </si>
  <si>
    <t>Cash</t>
  </si>
  <si>
    <t>Debt</t>
  </si>
  <si>
    <t>EV</t>
  </si>
  <si>
    <t>Assets</t>
  </si>
  <si>
    <t>Current Assets</t>
  </si>
  <si>
    <t>Non-Current Assets</t>
  </si>
  <si>
    <t>PPE</t>
  </si>
  <si>
    <t>Restricted cash</t>
  </si>
  <si>
    <t>Value added tax and other receivables</t>
  </si>
  <si>
    <t>Right of use operating lease assets</t>
  </si>
  <si>
    <t>Right of use finance lease assets</t>
  </si>
  <si>
    <t>Deferred tax assets</t>
  </si>
  <si>
    <t>Other long-term assets</t>
  </si>
  <si>
    <t>Total non-current Assets</t>
  </si>
  <si>
    <t>Crude oil inventory</t>
  </si>
  <si>
    <t>Prepayments &amp; other</t>
  </si>
  <si>
    <t>Egypt receivables &amp; other</t>
  </si>
  <si>
    <t>Accounts with joint venture owners</t>
  </si>
  <si>
    <t>Cash and cash equivalents</t>
  </si>
  <si>
    <t>Total current Assets</t>
  </si>
  <si>
    <t>Liquidability (%)</t>
  </si>
  <si>
    <t>Abandonment funding (provision)</t>
  </si>
  <si>
    <t>Trade receivables</t>
  </si>
  <si>
    <t>Market Capitalization</t>
  </si>
  <si>
    <t>Asset Liquidation</t>
  </si>
  <si>
    <t>Company Liquidation</t>
  </si>
  <si>
    <t>Total liabilities</t>
  </si>
  <si>
    <t>Q124</t>
  </si>
  <si>
    <t>Q224</t>
  </si>
  <si>
    <t>Q323</t>
  </si>
  <si>
    <t>Q324</t>
  </si>
  <si>
    <t>Q424</t>
  </si>
  <si>
    <t>Q423</t>
  </si>
  <si>
    <t>Q223</t>
  </si>
  <si>
    <t>Q123</t>
  </si>
  <si>
    <t>Q422</t>
  </si>
  <si>
    <t>Q322</t>
  </si>
  <si>
    <t>Q222</t>
  </si>
  <si>
    <t>Q122</t>
  </si>
  <si>
    <t>Revenue</t>
  </si>
  <si>
    <t>&gt; Crude oil, natural gas and natural gas liquids</t>
  </si>
  <si>
    <t>Operating costs and expenses</t>
  </si>
  <si>
    <t>&gt; Production expense</t>
  </si>
  <si>
    <t>&gt; Exploration expense</t>
  </si>
  <si>
    <t xml:space="preserve">&gt; Depreciation, depletion, amortization </t>
  </si>
  <si>
    <t>General nad administrative expense</t>
  </si>
  <si>
    <t>Credit losses and other</t>
  </si>
  <si>
    <t>Total operating costs</t>
  </si>
  <si>
    <t>Other operating income</t>
  </si>
  <si>
    <t>EBIT</t>
  </si>
  <si>
    <t>Other income/expense</t>
  </si>
  <si>
    <t>Interest expense</t>
  </si>
  <si>
    <t>Derivative instruments gain/loss</t>
  </si>
  <si>
    <t>EBT</t>
  </si>
  <si>
    <t>Income tax expense</t>
  </si>
  <si>
    <t>Net Income</t>
  </si>
  <si>
    <t>Currency translation adjustments</t>
  </si>
  <si>
    <t>Comprehensive income</t>
  </si>
  <si>
    <t>&gt; FPSO demobilization and other costs</t>
  </si>
  <si>
    <t>Bargain purchase &amp; other income</t>
  </si>
  <si>
    <t>Average net income</t>
  </si>
  <si>
    <t>Average revenue</t>
  </si>
  <si>
    <t>Operating CF</t>
  </si>
  <si>
    <t>Investing CF</t>
  </si>
  <si>
    <t>Financing CF</t>
  </si>
  <si>
    <t>FCF</t>
  </si>
  <si>
    <t>Capex</t>
  </si>
  <si>
    <t>Net Cash Change</t>
  </si>
  <si>
    <t>AVG net cash change</t>
  </si>
  <si>
    <t>DCF</t>
  </si>
  <si>
    <t>Assumptions:</t>
  </si>
  <si>
    <t>Discount Rate of 7%</t>
  </si>
  <si>
    <t>5% YOY Slow down</t>
  </si>
  <si>
    <t>AVG FCF (2016+)</t>
  </si>
  <si>
    <t>AVG FCF (2009-2023)</t>
  </si>
  <si>
    <t>Cyclical, long periods of high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</si>
</sst>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horizontal="left"/>
    </xf>
    <xf numFmtId="44" fontId="0" fillId="0" borderId="0" xfId="0" applyNumberFormat="1"/>
    <xf numFmtId="0" fontId="0" fillId="0" borderId="0" xfId="0" applyAlignment="1">
      <alignment horizontal="left"/>
    </xf>
    <xf numFmtId="43" fontId="1" fillId="0" borderId="0" xfId="1" applyFont="1" applyFill="1" applyBorder="1" applyAlignment="1"/>
    <xf numFmtId="44" fontId="1" fillId="0" borderId="2" xfId="1" applyNumberFormat="1" applyFont="1" applyFill="1" applyBorder="1" applyAlignment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3" xfId="0" applyFont="1" applyBorder="1" applyAlignment="1">
      <alignment horizontal="left"/>
    </xf>
    <xf numFmtId="44" fontId="1" fillId="0" borderId="3" xfId="1" applyNumberFormat="1" applyFont="1" applyFill="1" applyBorder="1" applyAlignment="1"/>
    <xf numFmtId="164" fontId="0" fillId="0" borderId="0" xfId="1" applyNumberFormat="1" applyFont="1"/>
    <xf numFmtId="0" fontId="2" fillId="0" borderId="0" xfId="0" applyFont="1"/>
    <xf numFmtId="164" fontId="1" fillId="0" borderId="0" xfId="1" applyNumberFormat="1" applyFont="1"/>
    <xf numFmtId="164" fontId="1" fillId="0" borderId="0" xfId="1" applyNumberFormat="1" applyFont="1" applyFill="1" applyBorder="1" applyAlignment="1"/>
    <xf numFmtId="0" fontId="2" fillId="0" borderId="0" xfId="0" applyFont="1" applyAlignment="1">
      <alignment horizontal="left"/>
    </xf>
    <xf numFmtId="164" fontId="1" fillId="0" borderId="2" xfId="1" applyNumberFormat="1" applyFont="1" applyFill="1" applyBorder="1" applyAlignment="1"/>
    <xf numFmtId="164" fontId="1" fillId="0" borderId="3" xfId="1" applyNumberFormat="1" applyFont="1" applyFill="1" applyBorder="1" applyAlignment="1"/>
    <xf numFmtId="9" fontId="0" fillId="0" borderId="0" xfId="2" applyFont="1" applyFill="1" applyBorder="1" applyAlignment="1"/>
    <xf numFmtId="9" fontId="0" fillId="0" borderId="2" xfId="2" applyFont="1" applyFill="1" applyBorder="1" applyAlignment="1"/>
    <xf numFmtId="9" fontId="0" fillId="0" borderId="3" xfId="2" applyFont="1" applyFill="1" applyBorder="1" applyAlignment="1"/>
    <xf numFmtId="0" fontId="0" fillId="0" borderId="3" xfId="0" applyBorder="1" applyAlignment="1">
      <alignment horizontal="left"/>
    </xf>
    <xf numFmtId="164" fontId="2" fillId="0" borderId="0" xfId="1" applyNumberFormat="1" applyFont="1"/>
    <xf numFmtId="164" fontId="0" fillId="0" borderId="0" xfId="0" applyNumberFormat="1"/>
    <xf numFmtId="0" fontId="1" fillId="2" borderId="0" xfId="3"/>
    <xf numFmtId="164" fontId="1" fillId="2" borderId="0" xfId="3" applyNumberFormat="1"/>
    <xf numFmtId="0" fontId="2" fillId="2" borderId="0" xfId="3" applyFont="1"/>
    <xf numFmtId="164" fontId="2" fillId="2" borderId="0" xfId="3" applyNumberFormat="1" applyFont="1"/>
    <xf numFmtId="164" fontId="1" fillId="2" borderId="0" xfId="1" applyNumberFormat="1" applyFill="1"/>
    <xf numFmtId="8" fontId="0" fillId="0" borderId="0" xfId="0" applyNumberForma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</cellXfs>
  <cellStyles count="4">
    <cellStyle name="20% - Cor1" xfId="3" builtinId="30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E9"/>
  <sheetViews>
    <sheetView workbookViewId="0">
      <selection activeCell="F8" sqref="F8"/>
    </sheetView>
  </sheetViews>
  <sheetFormatPr defaultRowHeight="14.25" x14ac:dyDescent="0.45"/>
  <cols>
    <col min="4" max="4" width="6" bestFit="1" customWidth="1"/>
    <col min="5" max="5" width="12.33203125" bestFit="1" customWidth="1"/>
  </cols>
  <sheetData>
    <row r="1" spans="4:5" ht="14.65" thickBot="1" x14ac:dyDescent="0.5"/>
    <row r="2" spans="4:5" ht="16.149999999999999" thickTop="1" x14ac:dyDescent="0.5">
      <c r="D2" s="1" t="s">
        <v>0</v>
      </c>
      <c r="E2" s="7" t="s">
        <v>1</v>
      </c>
    </row>
    <row r="3" spans="4:5" x14ac:dyDescent="0.45">
      <c r="D3" s="3" t="s">
        <v>2</v>
      </c>
      <c r="E3" s="2">
        <v>5.26</v>
      </c>
    </row>
    <row r="4" spans="4:5" x14ac:dyDescent="0.45">
      <c r="D4" s="3" t="s">
        <v>3</v>
      </c>
      <c r="E4" s="4">
        <v>103734</v>
      </c>
    </row>
    <row r="5" spans="4:5" x14ac:dyDescent="0.45">
      <c r="D5" s="6" t="s">
        <v>4</v>
      </c>
      <c r="E5" s="5">
        <f>E3*E4</f>
        <v>545640.84</v>
      </c>
    </row>
    <row r="6" spans="4:5" x14ac:dyDescent="0.45">
      <c r="D6" s="6" t="s">
        <v>5</v>
      </c>
      <c r="E6" s="5">
        <v>89101</v>
      </c>
    </row>
    <row r="7" spans="4:5" x14ac:dyDescent="0.45">
      <c r="D7" s="6" t="s">
        <v>6</v>
      </c>
      <c r="E7" s="5">
        <v>436871</v>
      </c>
    </row>
    <row r="8" spans="4:5" ht="14.65" thickBot="1" x14ac:dyDescent="0.5">
      <c r="D8" s="8" t="s">
        <v>7</v>
      </c>
      <c r="E8" s="9">
        <f>E5+E7-E6</f>
        <v>893410.84</v>
      </c>
    </row>
    <row r="9" spans="4:5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9B98-6DA8-4D07-ABD7-EED0C48FAEDE}">
  <dimension ref="D1:K23"/>
  <sheetViews>
    <sheetView workbookViewId="0">
      <selection activeCell="G12" sqref="G12"/>
    </sheetView>
  </sheetViews>
  <sheetFormatPr defaultRowHeight="14.25" x14ac:dyDescent="0.45"/>
  <cols>
    <col min="4" max="4" width="31.06640625" bestFit="1" customWidth="1"/>
    <col min="5" max="5" width="10.86328125" bestFit="1" customWidth="1"/>
    <col min="6" max="6" width="13.46484375" bestFit="1" customWidth="1"/>
    <col min="11" max="11" width="10.86328125" bestFit="1" customWidth="1"/>
  </cols>
  <sheetData>
    <row r="1" spans="4:11" ht="14.65" thickBot="1" x14ac:dyDescent="0.5"/>
    <row r="2" spans="4:11" ht="16.149999999999999" thickTop="1" x14ac:dyDescent="0.5">
      <c r="D2" s="30" t="s">
        <v>8</v>
      </c>
      <c r="E2" s="31"/>
      <c r="F2" s="7" t="s">
        <v>25</v>
      </c>
      <c r="I2" t="s">
        <v>28</v>
      </c>
      <c r="K2" s="10">
        <v>545640</v>
      </c>
    </row>
    <row r="3" spans="4:11" x14ac:dyDescent="0.45">
      <c r="D3" s="14" t="s">
        <v>10</v>
      </c>
      <c r="I3" t="s">
        <v>29</v>
      </c>
      <c r="K3" s="10">
        <f>E5+E6*0.9+E9+E10+E14*0.5+E15+E16*0.8+E17*0.5+E18*0.8+E20+E19</f>
        <v>289714.3</v>
      </c>
    </row>
    <row r="4" spans="4:11" x14ac:dyDescent="0.45">
      <c r="D4" s="3" t="s">
        <v>11</v>
      </c>
      <c r="E4" s="13">
        <v>531589</v>
      </c>
      <c r="F4" s="17">
        <v>0</v>
      </c>
      <c r="I4" s="3" t="s">
        <v>31</v>
      </c>
      <c r="K4" s="12">
        <v>436871</v>
      </c>
    </row>
    <row r="5" spans="4:11" x14ac:dyDescent="0.45">
      <c r="D5" s="3" t="s">
        <v>12</v>
      </c>
      <c r="E5" s="13">
        <v>9462</v>
      </c>
      <c r="F5" s="17">
        <v>1</v>
      </c>
      <c r="J5" s="11"/>
    </row>
    <row r="6" spans="4:11" x14ac:dyDescent="0.45">
      <c r="D6" s="3" t="s">
        <v>13</v>
      </c>
      <c r="E6" s="13">
        <v>10228</v>
      </c>
      <c r="F6" s="17">
        <v>0.9</v>
      </c>
      <c r="I6" t="s">
        <v>30</v>
      </c>
      <c r="K6" s="22">
        <f>K2-K3+K4</f>
        <v>692796.7</v>
      </c>
    </row>
    <row r="7" spans="4:11" x14ac:dyDescent="0.45">
      <c r="D7" s="3" t="s">
        <v>14</v>
      </c>
      <c r="E7" s="13">
        <v>2320</v>
      </c>
      <c r="F7" s="17">
        <v>0</v>
      </c>
    </row>
    <row r="8" spans="4:11" x14ac:dyDescent="0.45">
      <c r="D8" s="3" t="s">
        <v>15</v>
      </c>
      <c r="E8" s="13">
        <v>83093</v>
      </c>
      <c r="F8" s="17">
        <v>0</v>
      </c>
    </row>
    <row r="9" spans="4:11" x14ac:dyDescent="0.45">
      <c r="D9" s="3" t="s">
        <v>16</v>
      </c>
      <c r="E9" s="13">
        <v>57035</v>
      </c>
      <c r="F9" s="17">
        <v>1</v>
      </c>
    </row>
    <row r="10" spans="4:11" x14ac:dyDescent="0.45">
      <c r="D10" s="3" t="s">
        <v>26</v>
      </c>
      <c r="E10" s="13">
        <v>6268</v>
      </c>
      <c r="F10" s="17">
        <v>1</v>
      </c>
    </row>
    <row r="11" spans="4:11" x14ac:dyDescent="0.45">
      <c r="D11" s="3" t="s">
        <v>17</v>
      </c>
      <c r="E11" s="13">
        <v>1109</v>
      </c>
      <c r="F11" s="17">
        <v>0</v>
      </c>
    </row>
    <row r="12" spans="4:11" x14ac:dyDescent="0.45">
      <c r="D12" s="6" t="s">
        <v>18</v>
      </c>
      <c r="E12" s="15">
        <f>SUM(E4:E11)</f>
        <v>701104</v>
      </c>
      <c r="F12" s="18"/>
    </row>
    <row r="13" spans="4:11" x14ac:dyDescent="0.45">
      <c r="D13" s="14" t="s">
        <v>9</v>
      </c>
      <c r="E13" s="13"/>
      <c r="F13" s="17"/>
    </row>
    <row r="14" spans="4:11" x14ac:dyDescent="0.45">
      <c r="D14" s="3" t="s">
        <v>19</v>
      </c>
      <c r="E14" s="13">
        <v>4776</v>
      </c>
      <c r="F14" s="17">
        <v>0.5</v>
      </c>
    </row>
    <row r="15" spans="4:11" x14ac:dyDescent="0.45">
      <c r="D15" s="3" t="s">
        <v>20</v>
      </c>
      <c r="E15" s="13">
        <v>15138</v>
      </c>
      <c r="F15" s="17">
        <v>1</v>
      </c>
    </row>
    <row r="16" spans="4:11" x14ac:dyDescent="0.45">
      <c r="D16" s="3" t="s">
        <v>21</v>
      </c>
      <c r="E16" s="13">
        <v>42163</v>
      </c>
      <c r="F16" s="17">
        <v>0.8</v>
      </c>
    </row>
    <row r="17" spans="4:6" x14ac:dyDescent="0.45">
      <c r="D17" s="3" t="s">
        <v>22</v>
      </c>
      <c r="E17" s="13">
        <v>1131</v>
      </c>
      <c r="F17" s="17">
        <v>0.5</v>
      </c>
    </row>
    <row r="18" spans="4:6" x14ac:dyDescent="0.45">
      <c r="D18" s="3" t="s">
        <v>27</v>
      </c>
      <c r="E18" s="13">
        <v>83344</v>
      </c>
      <c r="F18" s="17">
        <v>0.8</v>
      </c>
    </row>
    <row r="19" spans="4:6" x14ac:dyDescent="0.45">
      <c r="D19" s="3" t="s">
        <v>12</v>
      </c>
      <c r="E19" s="13">
        <v>146</v>
      </c>
      <c r="F19" s="17">
        <v>1</v>
      </c>
    </row>
    <row r="20" spans="4:6" x14ac:dyDescent="0.45">
      <c r="D20" s="3" t="s">
        <v>23</v>
      </c>
      <c r="E20" s="13">
        <v>89101</v>
      </c>
      <c r="F20" s="17">
        <v>1</v>
      </c>
    </row>
    <row r="21" spans="4:6" ht="14.65" thickBot="1" x14ac:dyDescent="0.5">
      <c r="D21" s="20" t="s">
        <v>24</v>
      </c>
      <c r="E21" s="16">
        <f>SUM(E14:E20)</f>
        <v>235799</v>
      </c>
      <c r="F21" s="19"/>
    </row>
    <row r="22" spans="4:6" ht="14.65" thickTop="1" x14ac:dyDescent="0.45">
      <c r="E22" s="10"/>
    </row>
    <row r="23" spans="4:6" x14ac:dyDescent="0.45">
      <c r="E23" s="10"/>
    </row>
  </sheetData>
  <mergeCells count="1"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1B4B-490C-42BE-B0CB-DE6AEBEDE97C}">
  <dimension ref="D3:AQ45"/>
  <sheetViews>
    <sheetView tabSelected="1" topLeftCell="C21" workbookViewId="0">
      <selection activeCell="J43" sqref="J43"/>
    </sheetView>
  </sheetViews>
  <sheetFormatPr defaultRowHeight="14.25" x14ac:dyDescent="0.45"/>
  <cols>
    <col min="4" max="4" width="38.53125" bestFit="1" customWidth="1"/>
    <col min="6" max="6" width="17.33203125" bestFit="1" customWidth="1"/>
    <col min="7" max="7" width="12.59765625" bestFit="1" customWidth="1"/>
    <col min="8" max="8" width="9.86328125" bestFit="1" customWidth="1"/>
    <col min="10" max="10" width="10.86328125" bestFit="1" customWidth="1"/>
    <col min="12" max="13" width="10.86328125" bestFit="1" customWidth="1"/>
    <col min="14" max="14" width="9.86328125" bestFit="1" customWidth="1"/>
    <col min="15" max="15" width="10.86328125" bestFit="1" customWidth="1"/>
  </cols>
  <sheetData>
    <row r="3" spans="4:16" x14ac:dyDescent="0.45">
      <c r="E3" t="s">
        <v>43</v>
      </c>
      <c r="F3" t="s">
        <v>42</v>
      </c>
      <c r="G3" t="s">
        <v>41</v>
      </c>
      <c r="H3" t="s">
        <v>40</v>
      </c>
      <c r="I3" t="s">
        <v>39</v>
      </c>
      <c r="J3" t="s">
        <v>38</v>
      </c>
      <c r="K3" t="s">
        <v>34</v>
      </c>
      <c r="L3" t="s">
        <v>37</v>
      </c>
      <c r="M3" t="s">
        <v>32</v>
      </c>
      <c r="N3" t="s">
        <v>33</v>
      </c>
      <c r="O3" t="s">
        <v>35</v>
      </c>
      <c r="P3" t="s">
        <v>36</v>
      </c>
    </row>
    <row r="4" spans="4:16" x14ac:dyDescent="0.45">
      <c r="D4" s="23" t="s">
        <v>44</v>
      </c>
      <c r="E4" s="24"/>
      <c r="F4" s="24"/>
      <c r="G4" s="24"/>
      <c r="H4" s="24"/>
      <c r="I4" s="24"/>
      <c r="J4" s="24"/>
      <c r="K4" s="23"/>
      <c r="L4" s="23"/>
      <c r="M4" s="23"/>
      <c r="N4" s="23"/>
      <c r="O4" s="23"/>
      <c r="P4" s="24"/>
    </row>
    <row r="5" spans="4:16" x14ac:dyDescent="0.45">
      <c r="D5" s="11" t="s">
        <v>45</v>
      </c>
      <c r="E5" s="21">
        <v>68656</v>
      </c>
      <c r="F5" s="21">
        <v>110985</v>
      </c>
      <c r="G5" s="21">
        <v>78097</v>
      </c>
      <c r="H5" s="21">
        <v>96588</v>
      </c>
      <c r="I5" s="21">
        <v>80403</v>
      </c>
      <c r="J5" s="21">
        <v>109240</v>
      </c>
      <c r="K5" s="21">
        <v>116269</v>
      </c>
      <c r="L5" s="21">
        <v>149154</v>
      </c>
      <c r="M5" s="21">
        <v>100155</v>
      </c>
      <c r="N5" s="21">
        <v>116788</v>
      </c>
      <c r="O5" s="21">
        <v>140334</v>
      </c>
      <c r="P5" s="10"/>
    </row>
    <row r="6" spans="4:16" x14ac:dyDescent="0.45">
      <c r="D6" s="23" t="s">
        <v>46</v>
      </c>
      <c r="E6" s="24"/>
      <c r="F6" s="24"/>
      <c r="G6" s="24"/>
      <c r="H6" s="24"/>
      <c r="I6" s="24"/>
      <c r="J6" s="24"/>
      <c r="K6" s="23"/>
      <c r="L6" s="24"/>
      <c r="M6" s="23"/>
      <c r="N6" s="24"/>
      <c r="O6" s="23"/>
      <c r="P6" s="24"/>
    </row>
    <row r="7" spans="4:16" x14ac:dyDescent="0.45">
      <c r="D7" t="s">
        <v>47</v>
      </c>
      <c r="E7" s="10">
        <v>18360</v>
      </c>
      <c r="F7" s="10">
        <v>25475</v>
      </c>
      <c r="G7" s="10">
        <v>23312</v>
      </c>
      <c r="H7" s="10">
        <v>45514</v>
      </c>
      <c r="I7" s="10">
        <v>28200</v>
      </c>
      <c r="J7" s="10">
        <v>38604</v>
      </c>
      <c r="K7" s="10">
        <v>39956</v>
      </c>
      <c r="L7" s="10">
        <v>46397</v>
      </c>
      <c r="M7" s="10">
        <v>32089</v>
      </c>
      <c r="N7" s="10">
        <v>52446</v>
      </c>
      <c r="O7" s="10">
        <v>42324</v>
      </c>
      <c r="P7" s="10"/>
    </row>
    <row r="8" spans="4:16" x14ac:dyDescent="0.45">
      <c r="D8" s="23" t="s">
        <v>63</v>
      </c>
      <c r="E8" s="23">
        <v>127</v>
      </c>
      <c r="F8" s="23">
        <v>0</v>
      </c>
      <c r="G8" s="23">
        <v>8867</v>
      </c>
      <c r="H8" s="23">
        <v>0</v>
      </c>
      <c r="I8" s="23">
        <v>0</v>
      </c>
      <c r="J8" s="23">
        <v>5647</v>
      </c>
      <c r="K8" s="24">
        <v>0</v>
      </c>
      <c r="L8" s="23">
        <v>1837</v>
      </c>
      <c r="M8" s="23">
        <v>0</v>
      </c>
      <c r="N8" s="24">
        <v>0</v>
      </c>
      <c r="O8" s="24">
        <v>0</v>
      </c>
      <c r="P8" s="23"/>
    </row>
    <row r="9" spans="4:16" x14ac:dyDescent="0.45">
      <c r="D9" t="s">
        <v>48</v>
      </c>
      <c r="E9" s="10">
        <v>4673</v>
      </c>
      <c r="F9" s="10">
        <v>67</v>
      </c>
      <c r="G9" s="10">
        <v>56</v>
      </c>
      <c r="H9" s="10">
        <v>48</v>
      </c>
      <c r="I9" s="10">
        <v>8</v>
      </c>
      <c r="J9" s="10">
        <v>57</v>
      </c>
      <c r="K9" s="10">
        <v>1194</v>
      </c>
      <c r="L9" s="10">
        <v>706</v>
      </c>
      <c r="M9" s="10">
        <v>48</v>
      </c>
      <c r="N9" s="10">
        <v>0</v>
      </c>
      <c r="O9" s="10">
        <v>0</v>
      </c>
      <c r="P9" s="10"/>
    </row>
    <row r="10" spans="4:16" x14ac:dyDescent="0.45">
      <c r="D10" s="23" t="s">
        <v>49</v>
      </c>
      <c r="E10" s="24">
        <v>4994</v>
      </c>
      <c r="F10" s="24">
        <v>8191</v>
      </c>
      <c r="G10" s="24">
        <v>8963</v>
      </c>
      <c r="H10" s="24">
        <v>26316</v>
      </c>
      <c r="I10" s="24">
        <v>24417</v>
      </c>
      <c r="J10" s="24">
        <v>38003</v>
      </c>
      <c r="K10" s="24">
        <v>32538</v>
      </c>
      <c r="L10" s="24">
        <v>20344</v>
      </c>
      <c r="M10" s="27">
        <v>25824</v>
      </c>
      <c r="N10" s="24">
        <v>33132</v>
      </c>
      <c r="O10" s="24">
        <v>47031</v>
      </c>
      <c r="P10" s="24"/>
    </row>
    <row r="11" spans="4:16" x14ac:dyDescent="0.45">
      <c r="D11" t="s">
        <v>50</v>
      </c>
      <c r="E11" s="10">
        <v>492</v>
      </c>
      <c r="F11" s="10">
        <v>3534</v>
      </c>
      <c r="G11" s="10">
        <v>1979</v>
      </c>
      <c r="H11" s="10">
        <v>-430</v>
      </c>
      <c r="I11" s="10">
        <v>935</v>
      </c>
      <c r="J11" s="10">
        <v>5395</v>
      </c>
      <c r="K11" s="10">
        <v>6216</v>
      </c>
      <c r="L11" s="10">
        <v>7005</v>
      </c>
      <c r="M11" s="10">
        <v>1313</v>
      </c>
      <c r="N11" s="10">
        <v>7591</v>
      </c>
      <c r="O11" s="10">
        <v>6929</v>
      </c>
      <c r="P11" s="10"/>
    </row>
    <row r="12" spans="4:16" x14ac:dyDescent="0.45">
      <c r="D12" s="23" t="s">
        <v>51</v>
      </c>
      <c r="E12" s="24">
        <v>0</v>
      </c>
      <c r="F12" s="24">
        <v>571</v>
      </c>
      <c r="G12" s="24">
        <v>1020</v>
      </c>
      <c r="H12" s="24">
        <v>999</v>
      </c>
      <c r="I12" s="24">
        <v>5224</v>
      </c>
      <c r="J12" s="24">
        <v>680</v>
      </c>
      <c r="K12" s="24">
        <v>822</v>
      </c>
      <c r="L12" s="24">
        <v>-7343</v>
      </c>
      <c r="M12" s="27">
        <v>1812</v>
      </c>
      <c r="N12" s="24">
        <v>3341</v>
      </c>
      <c r="O12" s="24">
        <v>69</v>
      </c>
      <c r="P12" s="24"/>
    </row>
    <row r="13" spans="4:16" x14ac:dyDescent="0.45">
      <c r="D13" t="s">
        <v>52</v>
      </c>
      <c r="E13" s="10">
        <v>28646</v>
      </c>
      <c r="F13" s="10">
        <v>37838</v>
      </c>
      <c r="G13" s="10">
        <v>44197</v>
      </c>
      <c r="H13" s="10">
        <v>72407</v>
      </c>
      <c r="I13" s="10">
        <v>58784</v>
      </c>
      <c r="J13" s="10">
        <v>88386</v>
      </c>
      <c r="K13" s="10">
        <v>80726</v>
      </c>
      <c r="L13" s="10">
        <v>68946</v>
      </c>
      <c r="M13" s="10">
        <v>67796</v>
      </c>
      <c r="N13" s="10">
        <v>96510</v>
      </c>
      <c r="O13" s="10">
        <v>96353</v>
      </c>
      <c r="P13" s="10"/>
    </row>
    <row r="14" spans="4:16" x14ac:dyDescent="0.45">
      <c r="D14" s="23" t="s">
        <v>53</v>
      </c>
      <c r="E14" s="24">
        <v>-5</v>
      </c>
      <c r="F14" s="24">
        <v>0</v>
      </c>
      <c r="G14" s="24">
        <v>0</v>
      </c>
      <c r="H14" s="24">
        <v>43</v>
      </c>
      <c r="I14" s="24">
        <v>0</v>
      </c>
      <c r="J14" s="24">
        <v>-303</v>
      </c>
      <c r="K14" s="24">
        <v>5</v>
      </c>
      <c r="L14" s="24">
        <v>731</v>
      </c>
      <c r="M14" s="27">
        <v>-166</v>
      </c>
      <c r="N14" s="24">
        <v>132</v>
      </c>
      <c r="O14" s="24">
        <v>102</v>
      </c>
      <c r="P14" s="24"/>
    </row>
    <row r="15" spans="4:16" x14ac:dyDescent="0.45">
      <c r="D15" s="11" t="s">
        <v>54</v>
      </c>
      <c r="E15" s="21">
        <f>E5-E13+E14</f>
        <v>40005</v>
      </c>
      <c r="F15" s="21">
        <f>F5-F13+F14</f>
        <v>73147</v>
      </c>
      <c r="G15" s="21">
        <f>G5-G13+G14</f>
        <v>33900</v>
      </c>
      <c r="H15" s="21">
        <f>H5-H13+H14</f>
        <v>24224</v>
      </c>
      <c r="I15" s="21">
        <f t="shared" ref="I15:P15" si="0">I5-I13+I14</f>
        <v>21619</v>
      </c>
      <c r="J15" s="21">
        <f t="shared" si="0"/>
        <v>20551</v>
      </c>
      <c r="K15" s="21">
        <f t="shared" si="0"/>
        <v>35548</v>
      </c>
      <c r="L15" s="21">
        <f t="shared" si="0"/>
        <v>80939</v>
      </c>
      <c r="M15" s="21">
        <f t="shared" si="0"/>
        <v>32193</v>
      </c>
      <c r="N15" s="21">
        <f t="shared" si="0"/>
        <v>20410</v>
      </c>
      <c r="O15" s="21">
        <f t="shared" si="0"/>
        <v>44083</v>
      </c>
      <c r="P15" s="21">
        <f t="shared" si="0"/>
        <v>0</v>
      </c>
    </row>
    <row r="16" spans="4:16" x14ac:dyDescent="0.45">
      <c r="D16" s="23" t="s">
        <v>55</v>
      </c>
      <c r="E16" s="24">
        <v>-32457</v>
      </c>
      <c r="F16" s="24">
        <v>-11771</v>
      </c>
      <c r="G16" s="24">
        <v>-4163</v>
      </c>
      <c r="H16" s="24">
        <v>497</v>
      </c>
      <c r="I16" s="24">
        <v>-3378</v>
      </c>
      <c r="J16" s="24">
        <v>-2209</v>
      </c>
      <c r="K16" s="24">
        <v>-2320</v>
      </c>
      <c r="L16" s="24">
        <v>626</v>
      </c>
      <c r="M16" s="24">
        <v>-2269</v>
      </c>
      <c r="N16" s="24">
        <v>257</v>
      </c>
      <c r="O16" s="24">
        <v>210</v>
      </c>
      <c r="P16" s="24"/>
    </row>
    <row r="17" spans="4:20" x14ac:dyDescent="0.45">
      <c r="D17" t="s">
        <v>57</v>
      </c>
      <c r="E17" s="10">
        <v>-31758</v>
      </c>
      <c r="F17" s="10">
        <v>-9542</v>
      </c>
      <c r="G17" s="10">
        <v>3778</v>
      </c>
      <c r="H17" s="10">
        <f>-290-14</f>
        <v>-304</v>
      </c>
      <c r="I17" s="10">
        <v>21</v>
      </c>
      <c r="J17" s="10">
        <v>31</v>
      </c>
      <c r="K17" s="10">
        <v>-1426</v>
      </c>
      <c r="L17" s="10">
        <v>2500</v>
      </c>
      <c r="M17" s="10">
        <v>-847</v>
      </c>
      <c r="N17" s="10">
        <v>-1117</v>
      </c>
      <c r="O17" s="10">
        <v>-588</v>
      </c>
      <c r="P17" s="10"/>
    </row>
    <row r="18" spans="4:20" x14ac:dyDescent="0.45">
      <c r="D18" s="23" t="s">
        <v>56</v>
      </c>
      <c r="E18" s="24">
        <v>-3</v>
      </c>
      <c r="F18" s="24">
        <v>-118</v>
      </c>
      <c r="G18" s="24">
        <v>-234</v>
      </c>
      <c r="H18" s="24">
        <v>-1679</v>
      </c>
      <c r="I18" s="24">
        <v>-2246</v>
      </c>
      <c r="J18" s="24">
        <v>-1703</v>
      </c>
      <c r="K18" s="24">
        <v>0</v>
      </c>
      <c r="L18" s="24">
        <v>-1077</v>
      </c>
      <c r="M18" s="24">
        <v>-935</v>
      </c>
      <c r="N18" s="24">
        <v>19898</v>
      </c>
      <c r="O18" s="24">
        <v>0</v>
      </c>
      <c r="P18" s="24"/>
    </row>
    <row r="19" spans="4:20" x14ac:dyDescent="0.45">
      <c r="D19" t="s">
        <v>64</v>
      </c>
      <c r="E19" s="10">
        <v>-696</v>
      </c>
      <c r="F19" s="10">
        <v>-2111</v>
      </c>
      <c r="G19" s="10">
        <v>-7707</v>
      </c>
      <c r="H19" s="10">
        <v>2466</v>
      </c>
      <c r="I19" s="10">
        <v>-1153</v>
      </c>
      <c r="J19" s="10">
        <v>-537</v>
      </c>
      <c r="K19" s="10">
        <v>183</v>
      </c>
      <c r="L19" s="10">
        <v>-797</v>
      </c>
      <c r="M19" s="10">
        <v>-487</v>
      </c>
      <c r="N19" s="10">
        <v>-1984</v>
      </c>
      <c r="O19" s="10">
        <v>-141</v>
      </c>
      <c r="P19" s="10"/>
    </row>
    <row r="20" spans="4:20" x14ac:dyDescent="0.45">
      <c r="D20" s="23" t="s">
        <v>58</v>
      </c>
      <c r="E20" s="24">
        <v>7548</v>
      </c>
      <c r="F20" s="24">
        <v>61376</v>
      </c>
      <c r="G20" s="24">
        <v>29737</v>
      </c>
      <c r="H20" s="24">
        <v>24721</v>
      </c>
      <c r="I20" s="24">
        <v>18241</v>
      </c>
      <c r="J20" s="24">
        <v>18342</v>
      </c>
      <c r="K20" s="24">
        <v>31985</v>
      </c>
      <c r="L20" s="24">
        <v>81565</v>
      </c>
      <c r="M20" s="24">
        <v>29924</v>
      </c>
      <c r="N20" s="24">
        <v>37454</v>
      </c>
      <c r="O20" s="24">
        <v>43564</v>
      </c>
      <c r="P20" s="24"/>
    </row>
    <row r="21" spans="4:20" x14ac:dyDescent="0.45">
      <c r="D21" t="s">
        <v>59</v>
      </c>
      <c r="E21" s="10">
        <v>-4628</v>
      </c>
      <c r="F21" s="10">
        <v>46252</v>
      </c>
      <c r="G21" s="10">
        <v>22843</v>
      </c>
      <c r="H21" s="10">
        <v>6953</v>
      </c>
      <c r="I21" s="10">
        <v>14771</v>
      </c>
      <c r="J21" s="10">
        <v>11588</v>
      </c>
      <c r="K21" s="10">
        <v>25844</v>
      </c>
      <c r="L21" s="10">
        <v>37574</v>
      </c>
      <c r="M21" s="10">
        <v>22238</v>
      </c>
      <c r="N21" s="10">
        <v>9303</v>
      </c>
      <c r="O21" s="10">
        <v>32574</v>
      </c>
      <c r="P21" s="10"/>
    </row>
    <row r="22" spans="4:20" x14ac:dyDescent="0.45">
      <c r="D22" s="25" t="s">
        <v>60</v>
      </c>
      <c r="E22" s="26">
        <f>E20-E21</f>
        <v>12176</v>
      </c>
      <c r="F22" s="26">
        <f>F20-F21</f>
        <v>15124</v>
      </c>
      <c r="G22" s="26">
        <f>G20-G21</f>
        <v>6894</v>
      </c>
      <c r="H22" s="26">
        <f t="shared" ref="H22:L22" si="1">H20-H21</f>
        <v>17768</v>
      </c>
      <c r="I22" s="26">
        <f t="shared" si="1"/>
        <v>3470</v>
      </c>
      <c r="J22" s="26">
        <f t="shared" si="1"/>
        <v>6754</v>
      </c>
      <c r="K22" s="26">
        <f>K20-K21</f>
        <v>6141</v>
      </c>
      <c r="L22" s="26">
        <f t="shared" si="1"/>
        <v>43991</v>
      </c>
      <c r="M22" s="26">
        <f t="shared" ref="M22" si="2">M20-M21</f>
        <v>7686</v>
      </c>
      <c r="N22" s="26">
        <f>N20-N21</f>
        <v>28151</v>
      </c>
      <c r="O22" s="26">
        <f>O20-O21</f>
        <v>10990</v>
      </c>
      <c r="P22" s="26"/>
    </row>
    <row r="23" spans="4:20" x14ac:dyDescent="0.45">
      <c r="D23" t="s">
        <v>61</v>
      </c>
      <c r="E23" s="10">
        <v>-12</v>
      </c>
      <c r="F23" s="10">
        <v>-20</v>
      </c>
      <c r="G23" s="10">
        <v>-26</v>
      </c>
      <c r="H23" s="10">
        <v>-14</v>
      </c>
      <c r="I23" s="10">
        <v>-125</v>
      </c>
      <c r="J23" s="10">
        <v>2004</v>
      </c>
      <c r="K23" s="12">
        <v>-2216</v>
      </c>
      <c r="L23" s="10">
        <v>2036</v>
      </c>
      <c r="M23" s="10">
        <v>-2454</v>
      </c>
      <c r="N23" s="10">
        <v>-1068</v>
      </c>
      <c r="O23" s="10">
        <v>1655</v>
      </c>
      <c r="P23" s="10"/>
    </row>
    <row r="24" spans="4:20" x14ac:dyDescent="0.45">
      <c r="D24" s="23" t="s">
        <v>62</v>
      </c>
      <c r="E24" s="24">
        <f>E22+E23</f>
        <v>12164</v>
      </c>
      <c r="F24" s="24">
        <f>F22+F23</f>
        <v>15104</v>
      </c>
      <c r="G24" s="24">
        <f>G22+G23</f>
        <v>6868</v>
      </c>
      <c r="H24" s="24">
        <f t="shared" ref="H24:L24" si="3">H22+H23</f>
        <v>17754</v>
      </c>
      <c r="I24" s="24">
        <f t="shared" si="3"/>
        <v>3345</v>
      </c>
      <c r="J24" s="24">
        <f t="shared" si="3"/>
        <v>8758</v>
      </c>
      <c r="K24" s="24">
        <f>K22+K23</f>
        <v>3925</v>
      </c>
      <c r="L24" s="24">
        <f t="shared" si="3"/>
        <v>46027</v>
      </c>
      <c r="M24" s="24">
        <f t="shared" ref="M24" si="4">M22+M23</f>
        <v>5232</v>
      </c>
      <c r="N24" s="24">
        <f>N22+N23</f>
        <v>27083</v>
      </c>
      <c r="O24" s="24">
        <f t="shared" ref="O24" si="5">O22+O23</f>
        <v>12645</v>
      </c>
      <c r="P24" s="24"/>
    </row>
    <row r="27" spans="4:20" x14ac:dyDescent="0.45">
      <c r="E27" t="s">
        <v>65</v>
      </c>
      <c r="H27" t="s">
        <v>66</v>
      </c>
    </row>
    <row r="28" spans="4:20" x14ac:dyDescent="0.45">
      <c r="E28" s="22">
        <f>AVERAGE(E22:O22)</f>
        <v>14467.727272727272</v>
      </c>
      <c r="H28" s="22">
        <f>AVERAGE(E5:O5)</f>
        <v>106060.81818181818</v>
      </c>
    </row>
    <row r="31" spans="4:20" x14ac:dyDescent="0.45">
      <c r="E31">
        <v>2009</v>
      </c>
      <c r="F31">
        <v>2010</v>
      </c>
      <c r="G31">
        <v>2011</v>
      </c>
      <c r="H31">
        <v>2012</v>
      </c>
      <c r="I31">
        <v>2013</v>
      </c>
      <c r="J31">
        <v>2014</v>
      </c>
      <c r="K31">
        <v>2015</v>
      </c>
      <c r="L31">
        <v>2016</v>
      </c>
      <c r="M31">
        <v>2017</v>
      </c>
      <c r="N31">
        <v>2018</v>
      </c>
      <c r="O31">
        <v>2019</v>
      </c>
      <c r="P31">
        <v>2020</v>
      </c>
      <c r="Q31">
        <v>2021</v>
      </c>
      <c r="R31">
        <v>2022</v>
      </c>
      <c r="S31">
        <v>2023</v>
      </c>
      <c r="T31">
        <v>2024</v>
      </c>
    </row>
    <row r="32" spans="4:20" x14ac:dyDescent="0.45">
      <c r="D32" s="11" t="s">
        <v>67</v>
      </c>
      <c r="E32" s="21">
        <v>23493</v>
      </c>
      <c r="F32" s="21">
        <v>45515</v>
      </c>
      <c r="G32" s="21">
        <v>89585</v>
      </c>
      <c r="H32" s="21">
        <v>93958</v>
      </c>
      <c r="I32" s="21">
        <v>75401</v>
      </c>
      <c r="J32" s="21">
        <v>23390</v>
      </c>
      <c r="K32" s="21">
        <v>38875</v>
      </c>
      <c r="L32" s="11">
        <v>-3452</v>
      </c>
      <c r="M32" s="11">
        <v>6659</v>
      </c>
      <c r="N32" s="21">
        <v>37176</v>
      </c>
      <c r="O32" s="21">
        <v>26472</v>
      </c>
      <c r="P32" s="21">
        <v>27450</v>
      </c>
      <c r="Q32" s="21">
        <v>50117</v>
      </c>
      <c r="R32" s="21">
        <v>128846</v>
      </c>
      <c r="S32" s="21">
        <v>223597</v>
      </c>
      <c r="T32" s="21"/>
    </row>
    <row r="33" spans="4:43" x14ac:dyDescent="0.45">
      <c r="D33" t="s">
        <v>68</v>
      </c>
      <c r="E33" s="10">
        <v>-48966</v>
      </c>
      <c r="F33" s="10">
        <v>-39373</v>
      </c>
      <c r="G33" s="10">
        <v>-28376</v>
      </c>
      <c r="H33" s="10">
        <v>-71837</v>
      </c>
      <c r="I33" s="10">
        <v>-67944</v>
      </c>
      <c r="J33" s="10">
        <v>-101398</v>
      </c>
      <c r="K33" s="10">
        <v>83010</v>
      </c>
      <c r="L33">
        <v>-1287</v>
      </c>
      <c r="M33">
        <v>-1649</v>
      </c>
      <c r="N33" s="10">
        <v>-14127</v>
      </c>
      <c r="O33" s="12">
        <v>-10348</v>
      </c>
      <c r="P33" s="10">
        <v>-24328</v>
      </c>
      <c r="Q33" s="10">
        <v>-39063</v>
      </c>
      <c r="R33" s="10">
        <v>-123211</v>
      </c>
      <c r="S33" s="10">
        <v>-97223</v>
      </c>
      <c r="T33" s="10"/>
    </row>
    <row r="34" spans="4:43" x14ac:dyDescent="0.45">
      <c r="D34" t="s">
        <v>69</v>
      </c>
      <c r="E34" s="10">
        <v>-19382</v>
      </c>
      <c r="F34" s="10">
        <v>-5478</v>
      </c>
      <c r="G34" s="10">
        <v>-5304</v>
      </c>
      <c r="H34" s="10">
        <v>-28460</v>
      </c>
      <c r="I34" s="10">
        <v>-7727</v>
      </c>
      <c r="J34" s="10">
        <v>16530</v>
      </c>
      <c r="K34" s="10">
        <v>441</v>
      </c>
      <c r="L34">
        <v>-144</v>
      </c>
      <c r="M34">
        <v>-5815</v>
      </c>
      <c r="N34" s="10">
        <v>-8680</v>
      </c>
      <c r="O34" s="10">
        <v>-3655</v>
      </c>
      <c r="P34" s="10">
        <v>-929</v>
      </c>
      <c r="Q34" s="10">
        <v>-57</v>
      </c>
      <c r="R34" s="10">
        <v>-17955</v>
      </c>
      <c r="S34" s="10">
        <v>-56819</v>
      </c>
      <c r="T34" s="10"/>
    </row>
    <row r="35" spans="4:43" x14ac:dyDescent="0.45">
      <c r="D35" t="s">
        <v>71</v>
      </c>
      <c r="E35" s="10">
        <v>-61340</v>
      </c>
      <c r="F35" s="10">
        <v>-40012</v>
      </c>
      <c r="G35" s="10">
        <v>-31973</v>
      </c>
      <c r="H35" s="10">
        <v>-71915</v>
      </c>
      <c r="I35" s="10">
        <v>-66879</v>
      </c>
      <c r="J35" s="10">
        <v>-92179</v>
      </c>
      <c r="K35" s="10">
        <v>-88944</v>
      </c>
      <c r="L35">
        <v>-8705</v>
      </c>
      <c r="M35">
        <v>-1813</v>
      </c>
      <c r="N35" s="10">
        <v>-14127</v>
      </c>
      <c r="O35" s="12">
        <v>-10348</v>
      </c>
      <c r="P35" s="10">
        <v>-20008</v>
      </c>
      <c r="Q35" s="10">
        <v>-16558</v>
      </c>
      <c r="R35" s="10">
        <v>-159897</v>
      </c>
      <c r="S35" s="10">
        <v>-97223</v>
      </c>
      <c r="T35" s="10"/>
    </row>
    <row r="36" spans="4:43" x14ac:dyDescent="0.45">
      <c r="D36" s="11" t="s">
        <v>70</v>
      </c>
      <c r="E36" s="21">
        <f t="shared" ref="E36:G36" si="6">E32+E35</f>
        <v>-37847</v>
      </c>
      <c r="F36" s="21">
        <f t="shared" si="6"/>
        <v>5503</v>
      </c>
      <c r="G36" s="21">
        <f t="shared" si="6"/>
        <v>57612</v>
      </c>
      <c r="H36" s="21">
        <f>H32+H35</f>
        <v>22043</v>
      </c>
      <c r="I36" s="21">
        <f t="shared" ref="I36:T36" si="7">I32+I35</f>
        <v>8522</v>
      </c>
      <c r="J36" s="21">
        <f t="shared" si="7"/>
        <v>-68789</v>
      </c>
      <c r="K36" s="21">
        <f t="shared" si="7"/>
        <v>-50069</v>
      </c>
      <c r="L36" s="21">
        <f t="shared" si="7"/>
        <v>-12157</v>
      </c>
      <c r="M36" s="21">
        <f t="shared" si="7"/>
        <v>4846</v>
      </c>
      <c r="N36" s="21">
        <f t="shared" si="7"/>
        <v>23049</v>
      </c>
      <c r="O36" s="21">
        <f t="shared" si="7"/>
        <v>16124</v>
      </c>
      <c r="P36" s="21">
        <f t="shared" si="7"/>
        <v>7442</v>
      </c>
      <c r="Q36" s="21">
        <f t="shared" si="7"/>
        <v>33559</v>
      </c>
      <c r="R36" s="21">
        <f t="shared" si="7"/>
        <v>-31051</v>
      </c>
      <c r="S36" s="21">
        <f t="shared" si="7"/>
        <v>126374</v>
      </c>
      <c r="T36" s="21">
        <f t="shared" si="7"/>
        <v>0</v>
      </c>
    </row>
    <row r="37" spans="4:43" x14ac:dyDescent="0.45">
      <c r="D37" t="s">
        <v>72</v>
      </c>
      <c r="E37" s="22">
        <f t="shared" ref="E37:G37" si="8">E32+E33+E34</f>
        <v>-44855</v>
      </c>
      <c r="F37" s="22">
        <f t="shared" si="8"/>
        <v>664</v>
      </c>
      <c r="G37" s="22">
        <f t="shared" si="8"/>
        <v>55905</v>
      </c>
      <c r="H37" s="22">
        <f>H32+H33+H34</f>
        <v>-6339</v>
      </c>
      <c r="I37" s="22">
        <f>I32+I33+I34</f>
        <v>-270</v>
      </c>
      <c r="J37" s="22">
        <f>J32+J33+J34</f>
        <v>-61478</v>
      </c>
      <c r="K37" s="22">
        <f>K32+K33+K34</f>
        <v>122326</v>
      </c>
      <c r="L37" s="22">
        <f>L32+L33+L34</f>
        <v>-4883</v>
      </c>
      <c r="M37" s="22">
        <f>M32+M33+M34</f>
        <v>-805</v>
      </c>
      <c r="N37" s="22">
        <f>N32+N33+N34</f>
        <v>14369</v>
      </c>
      <c r="O37" s="22">
        <f>O32+O33+O34</f>
        <v>12469</v>
      </c>
      <c r="P37" s="22">
        <f>P32+P33+P34</f>
        <v>2193</v>
      </c>
      <c r="Q37" s="22">
        <f>Q32+Q33+Q34</f>
        <v>10997</v>
      </c>
      <c r="R37" s="22">
        <f>R32+R33+R34</f>
        <v>-12320</v>
      </c>
      <c r="S37" s="22">
        <f>S32+S33+S34</f>
        <v>69555</v>
      </c>
      <c r="T37" s="22">
        <f>T32+T33+T34</f>
        <v>0</v>
      </c>
    </row>
    <row r="39" spans="4:43" x14ac:dyDescent="0.45">
      <c r="F39" t="s">
        <v>78</v>
      </c>
      <c r="G39" s="22">
        <v>126374</v>
      </c>
      <c r="H39" s="22">
        <f>G39*0.95</f>
        <v>120055.29999999999</v>
      </c>
      <c r="I39" s="22">
        <f t="shared" ref="I39:AQ39" si="9">H39*0.95</f>
        <v>114052.53499999999</v>
      </c>
      <c r="J39" s="22">
        <f t="shared" si="9"/>
        <v>108349.90824999998</v>
      </c>
      <c r="K39" s="22">
        <f t="shared" si="9"/>
        <v>102932.41283749997</v>
      </c>
      <c r="L39" s="22">
        <f t="shared" si="9"/>
        <v>97785.792195624963</v>
      </c>
      <c r="M39" s="22">
        <f t="shared" si="9"/>
        <v>92896.502585843715</v>
      </c>
      <c r="N39" s="22">
        <f t="shared" si="9"/>
        <v>88251.677456551522</v>
      </c>
      <c r="O39" s="22">
        <f t="shared" si="9"/>
        <v>83839.093583723938</v>
      </c>
      <c r="P39" s="22">
        <f t="shared" si="9"/>
        <v>79647.138904537744</v>
      </c>
      <c r="Q39" s="22">
        <f t="shared" si="9"/>
        <v>75664.781959310858</v>
      </c>
      <c r="R39" s="22">
        <f t="shared" si="9"/>
        <v>71881.542861345311</v>
      </c>
      <c r="S39" s="22">
        <f t="shared" si="9"/>
        <v>68287.465718278036</v>
      </c>
      <c r="T39" s="22">
        <f t="shared" si="9"/>
        <v>64873.09243236413</v>
      </c>
      <c r="U39" s="22">
        <f t="shared" si="9"/>
        <v>61629.43781074592</v>
      </c>
      <c r="V39" s="22">
        <f t="shared" si="9"/>
        <v>58547.965920208619</v>
      </c>
      <c r="W39" s="22">
        <f t="shared" si="9"/>
        <v>55620.567624198186</v>
      </c>
      <c r="X39" s="22">
        <f t="shared" si="9"/>
        <v>52839.53924298827</v>
      </c>
      <c r="Y39" s="22">
        <f t="shared" si="9"/>
        <v>50197.562280838858</v>
      </c>
      <c r="Z39" s="22">
        <f t="shared" si="9"/>
        <v>47687.684166796913</v>
      </c>
      <c r="AA39" s="22">
        <f t="shared" si="9"/>
        <v>45303.299958457064</v>
      </c>
      <c r="AB39" s="22">
        <f t="shared" si="9"/>
        <v>43038.134960534211</v>
      </c>
      <c r="AC39" s="22">
        <f t="shared" si="9"/>
        <v>40886.2282125075</v>
      </c>
      <c r="AD39" s="22">
        <f t="shared" si="9"/>
        <v>38841.916801882122</v>
      </c>
      <c r="AE39" s="22">
        <f t="shared" si="9"/>
        <v>36899.820961788013</v>
      </c>
      <c r="AF39" s="22">
        <f t="shared" si="9"/>
        <v>35054.82991369861</v>
      </c>
      <c r="AG39" s="22">
        <f t="shared" si="9"/>
        <v>33302.088418013678</v>
      </c>
      <c r="AH39" s="22">
        <f t="shared" si="9"/>
        <v>31636.983997112991</v>
      </c>
      <c r="AI39" s="22">
        <f t="shared" si="9"/>
        <v>30055.134797257342</v>
      </c>
      <c r="AJ39" s="22">
        <f t="shared" si="9"/>
        <v>28552.378057394475</v>
      </c>
      <c r="AK39" s="22">
        <f t="shared" si="9"/>
        <v>27124.759154524749</v>
      </c>
      <c r="AL39" s="22">
        <f t="shared" si="9"/>
        <v>25768.521196798509</v>
      </c>
      <c r="AM39" s="22">
        <f t="shared" si="9"/>
        <v>24480.095136958582</v>
      </c>
      <c r="AN39" s="22">
        <f t="shared" si="9"/>
        <v>23256.090380110651</v>
      </c>
      <c r="AO39" s="22">
        <f t="shared" si="9"/>
        <v>22093.285861105116</v>
      </c>
      <c r="AP39" s="22">
        <f t="shared" si="9"/>
        <v>20988.621568049861</v>
      </c>
      <c r="AQ39" s="22">
        <f t="shared" si="9"/>
        <v>19939.190489647368</v>
      </c>
    </row>
    <row r="40" spans="4:43" x14ac:dyDescent="0.45">
      <c r="F40" t="s">
        <v>73</v>
      </c>
      <c r="G40" s="22">
        <f>AVERAGE(E37:S37)</f>
        <v>10501.866666666667</v>
      </c>
    </row>
    <row r="41" spans="4:43" x14ac:dyDescent="0.45">
      <c r="F41" t="s">
        <v>79</v>
      </c>
      <c r="G41" s="22">
        <f>AVERAGE(E36:S36)</f>
        <v>7010.7333333333336</v>
      </c>
    </row>
    <row r="42" spans="4:43" ht="25.5" x14ac:dyDescent="0.75">
      <c r="F42" t="s">
        <v>74</v>
      </c>
      <c r="G42" s="28">
        <f>NPV(7%,G39:AZ39)</f>
        <v>1040202.9840827222</v>
      </c>
      <c r="J42" s="29" t="s">
        <v>80</v>
      </c>
    </row>
    <row r="43" spans="4:43" x14ac:dyDescent="0.45">
      <c r="F43" t="s">
        <v>75</v>
      </c>
    </row>
    <row r="44" spans="4:43" x14ac:dyDescent="0.45">
      <c r="F44" t="s">
        <v>76</v>
      </c>
    </row>
    <row r="45" spans="4:43" x14ac:dyDescent="0.45">
      <c r="F4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EGY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2024-11-17T16:15:11Z</dcterms:modified>
</cp:coreProperties>
</file>