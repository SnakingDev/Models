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807265685c9c5407/Ambiente de Trabalho/Market Theory/Stock Research/PERI - Perion Network/"/>
    </mc:Choice>
  </mc:AlternateContent>
  <xr:revisionPtr revIDLastSave="624" documentId="11_AD4DF034E34935FBC521DCE2FF5B45405ADEDD89" xr6:coauthVersionLast="47" xr6:coauthVersionMax="47" xr10:uidLastSave="{AD74FF43-5E51-4A2F-B793-39A6A41B89B0}"/>
  <bookViews>
    <workbookView xWindow="-98" yWindow="-98" windowWidth="20715" windowHeight="13155" activeTab="2" xr2:uid="{00000000-000D-0000-FFFF-FFFF00000000}"/>
  </bookViews>
  <sheets>
    <sheet name="PERI" sheetId="1" r:id="rId1"/>
    <sheet name="Balance Sheet" sheetId="2" r:id="rId2"/>
    <sheet name="DC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K57" i="3"/>
  <c r="M56" i="3"/>
  <c r="N56" i="3" s="1"/>
  <c r="O56" i="3" s="1"/>
  <c r="P56" i="3" s="1"/>
  <c r="Q56" i="3" s="1"/>
  <c r="R56" i="3" s="1"/>
  <c r="S56" i="3" s="1"/>
  <c r="T56" i="3" s="1"/>
  <c r="U56" i="3" s="1"/>
  <c r="V56" i="3" s="1"/>
  <c r="W56" i="3" s="1"/>
  <c r="X56" i="3" s="1"/>
  <c r="Y56" i="3" s="1"/>
  <c r="Z56" i="3" s="1"/>
  <c r="AA56" i="3" s="1"/>
  <c r="AB56" i="3" s="1"/>
  <c r="AC56" i="3" s="1"/>
  <c r="AD56" i="3" s="1"/>
  <c r="AE56" i="3" s="1"/>
  <c r="AF56" i="3" s="1"/>
  <c r="AG56" i="3" s="1"/>
  <c r="AH56" i="3" s="1"/>
  <c r="AI56" i="3" s="1"/>
  <c r="AJ56" i="3" s="1"/>
  <c r="AK56" i="3" s="1"/>
  <c r="AL56" i="3" s="1"/>
  <c r="AM56" i="3" s="1"/>
  <c r="AN56" i="3" s="1"/>
  <c r="AO56" i="3" s="1"/>
  <c r="AP56" i="3" s="1"/>
  <c r="AQ56" i="3" s="1"/>
  <c r="AR56" i="3" s="1"/>
  <c r="L56" i="3"/>
  <c r="K56" i="3"/>
  <c r="M49" i="3"/>
  <c r="N49" i="3" s="1"/>
  <c r="O49" i="3" s="1"/>
  <c r="P49" i="3" s="1"/>
  <c r="Q49" i="3" s="1"/>
  <c r="R49" i="3" s="1"/>
  <c r="S49" i="3" s="1"/>
  <c r="T49" i="3" s="1"/>
  <c r="U49" i="3" s="1"/>
  <c r="V49" i="3" s="1"/>
  <c r="W49" i="3" s="1"/>
  <c r="X49" i="3" s="1"/>
  <c r="Y49" i="3" s="1"/>
  <c r="Z49" i="3" s="1"/>
  <c r="AA49" i="3" s="1"/>
  <c r="AB49" i="3" s="1"/>
  <c r="AC49" i="3" s="1"/>
  <c r="AD49" i="3" s="1"/>
  <c r="AE49" i="3" s="1"/>
  <c r="AF49" i="3" s="1"/>
  <c r="AG49" i="3" s="1"/>
  <c r="AH49" i="3" s="1"/>
  <c r="AI49" i="3" s="1"/>
  <c r="AJ49" i="3" s="1"/>
  <c r="AK49" i="3" s="1"/>
  <c r="AL49" i="3" s="1"/>
  <c r="AM49" i="3" s="1"/>
  <c r="AN49" i="3" s="1"/>
  <c r="AO49" i="3" s="1"/>
  <c r="AP49" i="3" s="1"/>
  <c r="AQ49" i="3" s="1"/>
  <c r="AR49" i="3" s="1"/>
  <c r="AS49" i="3" s="1"/>
  <c r="AT49" i="3" s="1"/>
  <c r="AU49" i="3" s="1"/>
  <c r="AV49" i="3" s="1"/>
  <c r="AW49" i="3" s="1"/>
  <c r="AX49" i="3" s="1"/>
  <c r="AY49" i="3" s="1"/>
  <c r="AZ49" i="3" s="1"/>
  <c r="BA49" i="3" s="1"/>
  <c r="BB49" i="3" s="1"/>
  <c r="BC49" i="3" s="1"/>
  <c r="BD49" i="3" s="1"/>
  <c r="BE49" i="3" s="1"/>
  <c r="BF49" i="3" s="1"/>
  <c r="BG49" i="3" s="1"/>
  <c r="BH49" i="3" s="1"/>
  <c r="BI49" i="3" s="1"/>
  <c r="BJ49" i="3" s="1"/>
  <c r="BK49" i="3" s="1"/>
  <c r="BL49" i="3" s="1"/>
  <c r="BM49" i="3" s="1"/>
  <c r="BN49" i="3" s="1"/>
  <c r="BO49" i="3" s="1"/>
  <c r="BP49" i="3" s="1"/>
  <c r="BQ49" i="3" s="1"/>
  <c r="BR49" i="3" s="1"/>
  <c r="BS49" i="3" s="1"/>
  <c r="BT49" i="3" s="1"/>
  <c r="BU49" i="3" s="1"/>
  <c r="BV49" i="3" s="1"/>
  <c r="BW49" i="3" s="1"/>
  <c r="BX49" i="3" s="1"/>
  <c r="BY49" i="3" s="1"/>
  <c r="BZ49" i="3" s="1"/>
  <c r="CA49" i="3" s="1"/>
  <c r="CB49" i="3" s="1"/>
  <c r="CC49" i="3" s="1"/>
  <c r="CD49" i="3" s="1"/>
  <c r="CE49" i="3" s="1"/>
  <c r="CF49" i="3" s="1"/>
  <c r="CG49" i="3" s="1"/>
  <c r="K49" i="3"/>
  <c r="L49" i="3" s="1"/>
  <c r="K48" i="3"/>
  <c r="Q46" i="3"/>
  <c r="P46" i="3"/>
  <c r="O46" i="3"/>
  <c r="N46" i="3"/>
  <c r="M46" i="3"/>
  <c r="L46" i="3"/>
  <c r="K46" i="3"/>
  <c r="J46" i="3"/>
  <c r="I46" i="3"/>
  <c r="H46" i="3"/>
  <c r="G46" i="3"/>
  <c r="H43" i="3"/>
  <c r="G43" i="3"/>
  <c r="I43" i="3"/>
  <c r="H49" i="3"/>
  <c r="Q43" i="3"/>
  <c r="P43" i="3"/>
  <c r="O43" i="3"/>
  <c r="N43" i="3"/>
  <c r="M43" i="3"/>
  <c r="L43" i="3"/>
  <c r="K43" i="3"/>
  <c r="J43" i="3"/>
  <c r="Q42" i="3"/>
  <c r="P42" i="3"/>
  <c r="O42" i="3"/>
  <c r="N42" i="3"/>
  <c r="M42" i="3"/>
  <c r="L42" i="3"/>
  <c r="K42" i="3"/>
  <c r="J42" i="3"/>
  <c r="I42" i="3"/>
  <c r="H42" i="3"/>
  <c r="G42" i="3"/>
  <c r="O27" i="3"/>
  <c r="N27" i="3"/>
  <c r="M27" i="3"/>
  <c r="L27" i="3"/>
  <c r="K27" i="3"/>
  <c r="J27" i="3"/>
  <c r="I27" i="3"/>
  <c r="H27" i="3"/>
  <c r="G27" i="3"/>
  <c r="F27" i="3"/>
  <c r="E27" i="3"/>
  <c r="E26" i="3"/>
  <c r="O25" i="3"/>
  <c r="Q44" i="3" s="1"/>
  <c r="N25" i="3"/>
  <c r="P44" i="3" s="1"/>
  <c r="M25" i="3"/>
  <c r="O44" i="3" s="1"/>
  <c r="L25" i="3"/>
  <c r="N44" i="3" s="1"/>
  <c r="K25" i="3"/>
  <c r="M44" i="3" s="1"/>
  <c r="J25" i="3"/>
  <c r="L44" i="3" s="1"/>
  <c r="I25" i="3"/>
  <c r="K44" i="3" s="1"/>
  <c r="H25" i="3"/>
  <c r="J44" i="3" s="1"/>
  <c r="G25" i="3"/>
  <c r="I44" i="3" s="1"/>
  <c r="F25" i="3"/>
  <c r="H44" i="3" s="1"/>
  <c r="E25" i="3"/>
  <c r="G44" i="3" s="1"/>
  <c r="O20" i="3"/>
  <c r="O22" i="3" s="1"/>
  <c r="O26" i="3" s="1"/>
  <c r="N20" i="3"/>
  <c r="N22" i="3" s="1"/>
  <c r="N26" i="3" s="1"/>
  <c r="M20" i="3"/>
  <c r="M22" i="3" s="1"/>
  <c r="M26" i="3" s="1"/>
  <c r="L20" i="3"/>
  <c r="L22" i="3" s="1"/>
  <c r="L26" i="3" s="1"/>
  <c r="K20" i="3"/>
  <c r="K22" i="3" s="1"/>
  <c r="K26" i="3" s="1"/>
  <c r="J20" i="3"/>
  <c r="J22" i="3" s="1"/>
  <c r="J26" i="3" s="1"/>
  <c r="I20" i="3"/>
  <c r="I22" i="3" s="1"/>
  <c r="I26" i="3" s="1"/>
  <c r="H20" i="3"/>
  <c r="H22" i="3" s="1"/>
  <c r="H26" i="3" s="1"/>
  <c r="G20" i="3"/>
  <c r="G22" i="3" s="1"/>
  <c r="G26" i="3" s="1"/>
  <c r="F20" i="3"/>
  <c r="F22" i="3" s="1"/>
  <c r="F26" i="3" s="1"/>
  <c r="I5" i="2"/>
  <c r="E19" i="2"/>
  <c r="E17" i="2"/>
  <c r="E11" i="2"/>
  <c r="E7" i="1"/>
  <c r="E5" i="1"/>
  <c r="E8" i="1" s="1"/>
  <c r="K50" i="3" l="1"/>
  <c r="H48" i="3"/>
  <c r="H47" i="3"/>
  <c r="E28" i="3"/>
  <c r="H30" i="3" s="1"/>
  <c r="I30" i="3" l="1"/>
  <c r="J30" i="3" s="1"/>
  <c r="K30" i="3" s="1"/>
  <c r="L30" i="3" s="1"/>
  <c r="M30" i="3" s="1"/>
  <c r="N30" i="3" s="1"/>
  <c r="O30" i="3" s="1"/>
  <c r="P30" i="3" s="1"/>
  <c r="Q30" i="3" s="1"/>
  <c r="R30" i="3" s="1"/>
  <c r="S30" i="3" s="1"/>
  <c r="T30" i="3" s="1"/>
  <c r="U30" i="3" s="1"/>
  <c r="V30" i="3" s="1"/>
  <c r="W30" i="3" s="1"/>
  <c r="X30" i="3" s="1"/>
  <c r="Y30" i="3" s="1"/>
  <c r="Z30" i="3" s="1"/>
  <c r="AA30" i="3" s="1"/>
  <c r="AB30" i="3" s="1"/>
  <c r="AC30" i="3" s="1"/>
  <c r="AD30" i="3" s="1"/>
  <c r="AE30" i="3" s="1"/>
  <c r="AF30" i="3" s="1"/>
  <c r="AG30" i="3" s="1"/>
  <c r="AH30" i="3" s="1"/>
  <c r="AI30" i="3" s="1"/>
  <c r="AJ30" i="3" s="1"/>
  <c r="AK30" i="3" s="1"/>
  <c r="AL30" i="3" s="1"/>
  <c r="AM30" i="3" s="1"/>
  <c r="AN30" i="3" s="1"/>
  <c r="AO30" i="3" s="1"/>
  <c r="AP30" i="3" s="1"/>
  <c r="AQ30" i="3" s="1"/>
  <c r="AR30" i="3" s="1"/>
  <c r="AS30" i="3" s="1"/>
  <c r="AT30" i="3" s="1"/>
  <c r="AU30" i="3" s="1"/>
  <c r="AV30" i="3" s="1"/>
  <c r="AW30" i="3" s="1"/>
  <c r="AX30" i="3" s="1"/>
  <c r="AY30" i="3" s="1"/>
  <c r="AZ30" i="3" s="1"/>
  <c r="BA30" i="3" s="1"/>
  <c r="BB30" i="3" s="1"/>
  <c r="BC30" i="3" s="1"/>
  <c r="H33" i="3" l="1"/>
</calcChain>
</file>

<file path=xl/sharedStrings.xml><?xml version="1.0" encoding="utf-8"?>
<sst xmlns="http://schemas.openxmlformats.org/spreadsheetml/2006/main" count="99" uniqueCount="83">
  <si>
    <t>Ticker</t>
  </si>
  <si>
    <t>Price</t>
  </si>
  <si>
    <t>SO/s</t>
  </si>
  <si>
    <t>MC</t>
  </si>
  <si>
    <t>Cash</t>
  </si>
  <si>
    <t>Debt</t>
  </si>
  <si>
    <t>EV</t>
  </si>
  <si>
    <t>$PERI</t>
  </si>
  <si>
    <t>Assets</t>
  </si>
  <si>
    <t>Cash and cash equivalents</t>
  </si>
  <si>
    <t>Restricted cash</t>
  </si>
  <si>
    <t>Short-term bank deposit</t>
  </si>
  <si>
    <t>Marketable securities</t>
  </si>
  <si>
    <t>Prepaid expenses and other current assets</t>
  </si>
  <si>
    <t>Accounts receivable</t>
  </si>
  <si>
    <t>Current Assets</t>
  </si>
  <si>
    <t>Total Current Assets</t>
  </si>
  <si>
    <t>Non-Current Assets</t>
  </si>
  <si>
    <t>PPE</t>
  </si>
  <si>
    <t>Operating lease right-of-use assets</t>
  </si>
  <si>
    <t>Goodwill and intangible assets</t>
  </si>
  <si>
    <t>Deferred taxes and other assets</t>
  </si>
  <si>
    <t>Total Non-Current Assets</t>
  </si>
  <si>
    <t>Total Liabilities</t>
  </si>
  <si>
    <t>Market Capitalization</t>
  </si>
  <si>
    <t>Liquidability (%)</t>
  </si>
  <si>
    <t>Asset Liquidation Value</t>
  </si>
  <si>
    <t>Company Liquidation Value</t>
  </si>
  <si>
    <t>Revenue</t>
  </si>
  <si>
    <t>Q122</t>
  </si>
  <si>
    <t>Q222</t>
  </si>
  <si>
    <t>Q323</t>
  </si>
  <si>
    <t>Q322</t>
  </si>
  <si>
    <t>Q422</t>
  </si>
  <si>
    <t>Q123</t>
  </si>
  <si>
    <t>Q223</t>
  </si>
  <si>
    <t>Q423</t>
  </si>
  <si>
    <t>Q124</t>
  </si>
  <si>
    <t>Q224</t>
  </si>
  <si>
    <t>Q324</t>
  </si>
  <si>
    <t>Q424</t>
  </si>
  <si>
    <t>&gt; Advertising Solutions</t>
  </si>
  <si>
    <t>&gt; Search Advertising</t>
  </si>
  <si>
    <t>Cost of Revenue</t>
  </si>
  <si>
    <t>Traffic acquisition costs and media buy</t>
  </si>
  <si>
    <t>R&amp;D</t>
  </si>
  <si>
    <t>General &amp; Administrative expenses</t>
  </si>
  <si>
    <t>Selling &amp; Marketing expenses</t>
  </si>
  <si>
    <t>Changes in fair value of contingent consideration</t>
  </si>
  <si>
    <t>Depreciation and amortization</t>
  </si>
  <si>
    <t>Restructuring costs</t>
  </si>
  <si>
    <t>Total Costs &amp; Expenses</t>
  </si>
  <si>
    <t xml:space="preserve">Financial Income </t>
  </si>
  <si>
    <t>EBT</t>
  </si>
  <si>
    <t>EBIT</t>
  </si>
  <si>
    <t>Taxes on Income</t>
  </si>
  <si>
    <t>Net Income</t>
  </si>
  <si>
    <t xml:space="preserve">100/Revenue </t>
  </si>
  <si>
    <t>Average Profit Margin Rate</t>
  </si>
  <si>
    <t>Profit Margin Rate</t>
  </si>
  <si>
    <t>Margin Rate</t>
  </si>
  <si>
    <t>DCF</t>
  </si>
  <si>
    <t>Assumptions:</t>
  </si>
  <si>
    <t>10% Discount Rate</t>
  </si>
  <si>
    <t>Forward Earnings</t>
  </si>
  <si>
    <t>Assuming Further revenue of ~100M and ~3% loss per quarter</t>
  </si>
  <si>
    <t>Operating CF</t>
  </si>
  <si>
    <t>Investing CF</t>
  </si>
  <si>
    <t>Financing CF</t>
  </si>
  <si>
    <t>NET CF</t>
  </si>
  <si>
    <t>Average CF</t>
  </si>
  <si>
    <t>WITHOUT Financing</t>
  </si>
  <si>
    <t>Average CF\{Financing}</t>
  </si>
  <si>
    <t>Average Operating CF</t>
  </si>
  <si>
    <t>Forward Operating CF</t>
  </si>
  <si>
    <t>Operating CF adj. for revenue</t>
  </si>
  <si>
    <t>Capital Expenditure</t>
  </si>
  <si>
    <t>CAPITAL EXPENDITURE OF 100K AVERAGE</t>
  </si>
  <si>
    <t>Free Cash Flow adj. for revenue</t>
  </si>
  <si>
    <t>Average FCF adjusted for revenue</t>
  </si>
  <si>
    <t>Forward FCF adj. for revenue</t>
  </si>
  <si>
    <t>VERY POSITIVE OUTCOME, 3% GROWTH PER QUARTER FOR 5 YEARS (~ 12,5% YOY growth)</t>
  </si>
  <si>
    <t>NEGATIVE OUTCOME, 3% QoQ slow-down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</si>
</sst>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_-* #,##0.00\ _€_-;\-* #,##0.00\ _€_-;_-* &quot;-&quot;??\ _€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ck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ck">
        <color indexed="20"/>
      </bottom>
      <diagonal/>
    </border>
    <border>
      <left/>
      <right/>
      <top style="thick">
        <color indexed="20"/>
      </top>
      <bottom style="thick">
        <color indexed="20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43" fontId="0" fillId="0" borderId="0" xfId="1" applyFont="1"/>
    <xf numFmtId="165" fontId="0" fillId="0" borderId="0" xfId="1" applyNumberFormat="1" applyFont="1"/>
    <xf numFmtId="43" fontId="1" fillId="0" borderId="0" xfId="1" applyFont="1" applyFill="1" applyBorder="1" applyAlignment="1"/>
    <xf numFmtId="165" fontId="1" fillId="0" borderId="0" xfId="1" applyNumberFormat="1" applyFont="1" applyFill="1" applyBorder="1" applyAlignment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165" fontId="1" fillId="0" borderId="2" xfId="1" applyNumberFormat="1" applyFont="1" applyFill="1" applyBorder="1" applyAlignment="1"/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right"/>
    </xf>
    <xf numFmtId="0" fontId="2" fillId="0" borderId="3" xfId="0" applyFont="1" applyBorder="1" applyAlignment="1">
      <alignment horizontal="left"/>
    </xf>
    <xf numFmtId="165" fontId="1" fillId="0" borderId="3" xfId="1" applyNumberFormat="1" applyFont="1" applyFill="1" applyBorder="1" applyAlignment="1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right"/>
    </xf>
    <xf numFmtId="0" fontId="2" fillId="0" borderId="4" xfId="0" applyFont="1" applyBorder="1" applyAlignment="1">
      <alignment horizontal="left"/>
    </xf>
    <xf numFmtId="9" fontId="0" fillId="0" borderId="0" xfId="0" applyNumberFormat="1"/>
    <xf numFmtId="9" fontId="0" fillId="0" borderId="0" xfId="2" applyFont="1" applyFill="1" applyBorder="1" applyAlignment="1"/>
    <xf numFmtId="9" fontId="0" fillId="0" borderId="2" xfId="2" applyFont="1" applyFill="1" applyBorder="1" applyAlignment="1"/>
    <xf numFmtId="9" fontId="0" fillId="0" borderId="3" xfId="2" applyFont="1" applyFill="1" applyBorder="1" applyAlignment="1"/>
    <xf numFmtId="164" fontId="0" fillId="0" borderId="0" xfId="1" applyNumberFormat="1" applyFont="1" applyFill="1" applyBorder="1" applyAlignment="1"/>
    <xf numFmtId="164" fontId="0" fillId="0" borderId="2" xfId="1" applyNumberFormat="1" applyFont="1" applyFill="1" applyBorder="1" applyAlignment="1"/>
    <xf numFmtId="164" fontId="0" fillId="0" borderId="3" xfId="1" applyNumberFormat="1" applyFont="1" applyFill="1" applyBorder="1" applyAlignment="1"/>
    <xf numFmtId="164" fontId="1" fillId="0" borderId="0" xfId="1" applyNumberFormat="1" applyFont="1" applyFill="1" applyBorder="1" applyAlignment="1"/>
    <xf numFmtId="0" fontId="4" fillId="0" borderId="0" xfId="0" applyFont="1" applyAlignment="1">
      <alignment horizontal="left"/>
    </xf>
    <xf numFmtId="165" fontId="1" fillId="0" borderId="5" xfId="1" applyNumberFormat="1" applyFont="1" applyFill="1" applyBorder="1" applyAlignment="1"/>
    <xf numFmtId="2" fontId="0" fillId="0" borderId="0" xfId="0" applyNumberFormat="1"/>
    <xf numFmtId="8" fontId="0" fillId="0" borderId="0" xfId="0" applyNumberFormat="1"/>
    <xf numFmtId="43" fontId="0" fillId="0" borderId="0" xfId="0" applyNumberFormat="1"/>
    <xf numFmtId="166" fontId="0" fillId="0" borderId="0" xfId="0" applyNumberFormat="1"/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right"/>
    </xf>
  </cellXfs>
  <cellStyles count="3">
    <cellStyle name="Normal" xfId="0" builtinId="0"/>
    <cellStyle name="Pe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E9"/>
  <sheetViews>
    <sheetView workbookViewId="0">
      <selection activeCell="E6" sqref="E6"/>
    </sheetView>
  </sheetViews>
  <sheetFormatPr defaultRowHeight="14.25" x14ac:dyDescent="0.45"/>
  <cols>
    <col min="4" max="4" width="6" bestFit="1" customWidth="1"/>
    <col min="5" max="5" width="11.86328125" bestFit="1" customWidth="1"/>
  </cols>
  <sheetData>
    <row r="1" spans="4:5" ht="14.65" thickBot="1" x14ac:dyDescent="0.5"/>
    <row r="2" spans="4:5" ht="16.149999999999999" thickTop="1" x14ac:dyDescent="0.5">
      <c r="D2" s="5" t="s">
        <v>0</v>
      </c>
      <c r="E2" s="9" t="s">
        <v>7</v>
      </c>
    </row>
    <row r="3" spans="4:5" x14ac:dyDescent="0.45">
      <c r="D3" s="6" t="s">
        <v>1</v>
      </c>
      <c r="E3" s="3">
        <v>8.74</v>
      </c>
    </row>
    <row r="4" spans="4:5" x14ac:dyDescent="0.45">
      <c r="D4" s="6" t="s">
        <v>2</v>
      </c>
      <c r="E4" s="24">
        <v>48.4</v>
      </c>
    </row>
    <row r="5" spans="4:5" x14ac:dyDescent="0.45">
      <c r="D5" s="8" t="s">
        <v>3</v>
      </c>
      <c r="E5" s="7">
        <f>E4*E3</f>
        <v>423.01600000000002</v>
      </c>
    </row>
    <row r="6" spans="4:5" x14ac:dyDescent="0.45">
      <c r="D6" s="8" t="s">
        <v>4</v>
      </c>
      <c r="E6" s="7">
        <v>154700000</v>
      </c>
    </row>
    <row r="7" spans="4:5" x14ac:dyDescent="0.45">
      <c r="D7" s="8" t="s">
        <v>5</v>
      </c>
      <c r="E7" s="7">
        <f>138600000+320000000</f>
        <v>458600000</v>
      </c>
    </row>
    <row r="8" spans="4:5" ht="14.65" thickBot="1" x14ac:dyDescent="0.5">
      <c r="D8" s="10" t="s">
        <v>6</v>
      </c>
      <c r="E8" s="11">
        <f>E5-E6+E7</f>
        <v>303900423.01600003</v>
      </c>
    </row>
    <row r="9" spans="4:5" ht="14.65" thickTop="1" x14ac:dyDescent="0.4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43615-2AD8-4DDE-9987-9EB1CFA5ED0F}">
  <dimension ref="D2:I20"/>
  <sheetViews>
    <sheetView workbookViewId="0">
      <selection activeCell="I6" sqref="I6"/>
    </sheetView>
  </sheetViews>
  <sheetFormatPr defaultRowHeight="14.25" x14ac:dyDescent="0.45"/>
  <cols>
    <col min="4" max="4" width="34.265625" bestFit="1" customWidth="1"/>
    <col min="5" max="5" width="8.86328125" bestFit="1" customWidth="1"/>
    <col min="6" max="6" width="13.46484375" bestFit="1" customWidth="1"/>
    <col min="8" max="8" width="23.265625" bestFit="1" customWidth="1"/>
    <col min="9" max="9" width="4.9296875" bestFit="1" customWidth="1"/>
  </cols>
  <sheetData>
    <row r="2" spans="4:9" ht="14.65" thickBot="1" x14ac:dyDescent="0.5"/>
    <row r="3" spans="4:9" ht="16.149999999999999" thickTop="1" x14ac:dyDescent="0.5">
      <c r="D3" s="31" t="s">
        <v>8</v>
      </c>
      <c r="E3" s="32"/>
      <c r="F3" s="9" t="s">
        <v>25</v>
      </c>
      <c r="H3" s="25" t="s">
        <v>24</v>
      </c>
      <c r="I3" s="4">
        <v>419</v>
      </c>
    </row>
    <row r="4" spans="4:9" x14ac:dyDescent="0.45">
      <c r="D4" s="13" t="s">
        <v>15</v>
      </c>
      <c r="H4" s="25" t="s">
        <v>26</v>
      </c>
      <c r="I4" s="4">
        <f>E5+E6+E7+E8*0.8+E9*0.5+E10*0.8+E16*0.8</f>
        <v>456.29000000000008</v>
      </c>
    </row>
    <row r="5" spans="4:9" ht="14.65" thickBot="1" x14ac:dyDescent="0.5">
      <c r="D5" s="6" t="s">
        <v>9</v>
      </c>
      <c r="E5" s="21">
        <v>154.69999999999999</v>
      </c>
      <c r="F5" s="17">
        <v>1</v>
      </c>
      <c r="H5" s="13" t="s">
        <v>27</v>
      </c>
      <c r="I5" s="26">
        <f>I3-I4+E19</f>
        <v>133.30999999999992</v>
      </c>
    </row>
    <row r="6" spans="4:9" ht="14.65" thickTop="1" x14ac:dyDescent="0.45">
      <c r="D6" s="6" t="s">
        <v>10</v>
      </c>
      <c r="E6" s="21">
        <v>1.1000000000000001</v>
      </c>
      <c r="F6" s="18">
        <v>1</v>
      </c>
      <c r="I6" s="2"/>
    </row>
    <row r="7" spans="4:9" x14ac:dyDescent="0.45">
      <c r="D7" s="6" t="s">
        <v>11</v>
      </c>
      <c r="E7" s="21">
        <v>149.30000000000001</v>
      </c>
      <c r="F7" s="18">
        <v>1</v>
      </c>
      <c r="I7" s="2"/>
    </row>
    <row r="8" spans="4:9" x14ac:dyDescent="0.45">
      <c r="D8" s="6" t="s">
        <v>12</v>
      </c>
      <c r="E8" s="21">
        <v>79.8</v>
      </c>
      <c r="F8" s="18">
        <v>0.8</v>
      </c>
      <c r="I8" s="2"/>
    </row>
    <row r="9" spans="4:9" x14ac:dyDescent="0.45">
      <c r="D9" s="6" t="s">
        <v>14</v>
      </c>
      <c r="E9" s="21">
        <v>132.30000000000001</v>
      </c>
      <c r="F9" s="18">
        <v>0.5</v>
      </c>
      <c r="I9" s="2"/>
    </row>
    <row r="10" spans="4:9" x14ac:dyDescent="0.45">
      <c r="D10" s="6" t="s">
        <v>13</v>
      </c>
      <c r="E10" s="21">
        <v>20.2</v>
      </c>
      <c r="F10" s="18">
        <v>0.8</v>
      </c>
      <c r="I10" s="2"/>
    </row>
    <row r="11" spans="4:9" x14ac:dyDescent="0.45">
      <c r="D11" s="8" t="s">
        <v>16</v>
      </c>
      <c r="E11" s="22">
        <f>SUM(E5:E10)</f>
        <v>537.40000000000009</v>
      </c>
      <c r="F11" s="19"/>
      <c r="I11" s="2"/>
    </row>
    <row r="12" spans="4:9" x14ac:dyDescent="0.45">
      <c r="D12" s="13" t="s">
        <v>17</v>
      </c>
      <c r="E12" s="21"/>
      <c r="F12" s="18"/>
      <c r="I12" s="2"/>
    </row>
    <row r="13" spans="4:9" x14ac:dyDescent="0.45">
      <c r="D13" s="6" t="s">
        <v>18</v>
      </c>
      <c r="E13" s="21">
        <v>7.1</v>
      </c>
      <c r="F13" s="18">
        <v>0</v>
      </c>
      <c r="I13" s="2"/>
    </row>
    <row r="14" spans="4:9" x14ac:dyDescent="0.45">
      <c r="D14" s="6" t="s">
        <v>19</v>
      </c>
      <c r="E14" s="21">
        <v>21.7</v>
      </c>
      <c r="F14" s="18">
        <v>0</v>
      </c>
      <c r="I14" s="2"/>
    </row>
    <row r="15" spans="4:9" x14ac:dyDescent="0.45">
      <c r="D15" s="6" t="s">
        <v>20</v>
      </c>
      <c r="E15" s="21">
        <v>319.89999999999998</v>
      </c>
      <c r="F15" s="18">
        <v>0</v>
      </c>
      <c r="I15" s="2"/>
    </row>
    <row r="16" spans="4:9" x14ac:dyDescent="0.45">
      <c r="D16" s="6" t="s">
        <v>21</v>
      </c>
      <c r="E16" s="21">
        <v>6.3</v>
      </c>
      <c r="F16" s="18">
        <v>0.8</v>
      </c>
      <c r="I16" s="2"/>
    </row>
    <row r="17" spans="4:6" ht="14.65" thickBot="1" x14ac:dyDescent="0.5">
      <c r="D17" s="14" t="s">
        <v>22</v>
      </c>
      <c r="E17" s="23">
        <f>SUM(E13:E16)</f>
        <v>355</v>
      </c>
      <c r="F17" s="20"/>
    </row>
    <row r="18" spans="4:6" ht="15" thickTop="1" thickBot="1" x14ac:dyDescent="0.5"/>
    <row r="19" spans="4:6" ht="15" thickTop="1" thickBot="1" x14ac:dyDescent="0.5">
      <c r="D19" s="16" t="s">
        <v>23</v>
      </c>
      <c r="E19" s="15">
        <f>32+138.6</f>
        <v>170.6</v>
      </c>
    </row>
    <row r="20" spans="4:6" ht="14.65" thickTop="1" x14ac:dyDescent="0.45"/>
  </sheetData>
  <mergeCells count="1">
    <mergeCell ref="D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13B6B-4C04-47FA-BF74-BE60C144C4ED}">
  <dimension ref="A3:CG57"/>
  <sheetViews>
    <sheetView tabSelected="1" topLeftCell="E35" workbookViewId="0">
      <selection activeCell="J48" sqref="J48"/>
    </sheetView>
  </sheetViews>
  <sheetFormatPr defaultRowHeight="14.25" x14ac:dyDescent="0.45"/>
  <cols>
    <col min="4" max="4" width="39.59765625" bestFit="1" customWidth="1"/>
    <col min="5" max="5" width="34.06640625" bestFit="1" customWidth="1"/>
    <col min="6" max="6" width="5.73046875" bestFit="1" customWidth="1"/>
    <col min="7" max="7" width="19" bestFit="1" customWidth="1"/>
    <col min="10" max="10" width="30.53125" bestFit="1" customWidth="1"/>
  </cols>
  <sheetData>
    <row r="3" spans="1:16" x14ac:dyDescent="0.45">
      <c r="E3" t="s">
        <v>29</v>
      </c>
      <c r="F3" t="s">
        <v>30</v>
      </c>
      <c r="G3" t="s">
        <v>32</v>
      </c>
      <c r="H3" t="s">
        <v>33</v>
      </c>
      <c r="I3" t="s">
        <v>34</v>
      </c>
      <c r="J3" t="s">
        <v>35</v>
      </c>
      <c r="K3" t="s">
        <v>31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 x14ac:dyDescent="0.45">
      <c r="D4" s="12" t="s">
        <v>28</v>
      </c>
      <c r="E4" s="12">
        <v>125.3</v>
      </c>
      <c r="F4" s="12">
        <v>146.69999999999999</v>
      </c>
      <c r="G4" s="12">
        <v>158.6</v>
      </c>
      <c r="H4" s="12">
        <v>209.7</v>
      </c>
      <c r="I4" s="12">
        <v>145.19999999999999</v>
      </c>
      <c r="J4" s="12">
        <v>178.5</v>
      </c>
      <c r="K4" s="12">
        <v>185.3</v>
      </c>
      <c r="L4" s="12">
        <v>234.2</v>
      </c>
      <c r="M4" s="12">
        <v>157.80000000000001</v>
      </c>
      <c r="N4" s="12">
        <v>108.7</v>
      </c>
      <c r="O4" s="12">
        <v>102.2</v>
      </c>
      <c r="P4" s="12"/>
    </row>
    <row r="5" spans="1:16" x14ac:dyDescent="0.45">
      <c r="D5" t="s">
        <v>41</v>
      </c>
      <c r="E5">
        <v>68.599999999999994</v>
      </c>
      <c r="F5">
        <v>81.599999999999994</v>
      </c>
      <c r="G5">
        <v>86.8</v>
      </c>
      <c r="H5">
        <v>123.8</v>
      </c>
      <c r="I5">
        <v>79.900000000000006</v>
      </c>
      <c r="J5">
        <v>99.4</v>
      </c>
      <c r="K5">
        <v>99.2</v>
      </c>
      <c r="L5">
        <v>119.8</v>
      </c>
      <c r="M5">
        <v>75.8</v>
      </c>
      <c r="N5">
        <v>74.400000000000006</v>
      </c>
      <c r="O5">
        <v>81.3</v>
      </c>
    </row>
    <row r="6" spans="1:16" x14ac:dyDescent="0.45">
      <c r="D6" t="s">
        <v>42</v>
      </c>
      <c r="E6">
        <v>56.7</v>
      </c>
      <c r="F6">
        <v>65.099999999999994</v>
      </c>
      <c r="G6">
        <v>71.8</v>
      </c>
      <c r="H6">
        <v>85.9</v>
      </c>
      <c r="I6">
        <v>65.3</v>
      </c>
      <c r="J6">
        <v>79.099999999999994</v>
      </c>
      <c r="K6">
        <v>86.1</v>
      </c>
      <c r="L6">
        <v>114.4</v>
      </c>
      <c r="M6">
        <v>82</v>
      </c>
      <c r="N6">
        <v>34.299999999999997</v>
      </c>
      <c r="O6">
        <v>20.9</v>
      </c>
    </row>
    <row r="8" spans="1:16" s="12" customFormat="1" x14ac:dyDescent="0.45">
      <c r="A8"/>
      <c r="B8"/>
      <c r="C8"/>
      <c r="D8" s="12" t="s">
        <v>51</v>
      </c>
      <c r="E8" s="12">
        <v>108.8</v>
      </c>
      <c r="F8" s="12">
        <v>124.8</v>
      </c>
      <c r="G8" s="12">
        <v>129</v>
      </c>
      <c r="H8" s="12">
        <v>168.5</v>
      </c>
      <c r="I8" s="12">
        <v>120.6</v>
      </c>
      <c r="J8" s="12">
        <v>158.6</v>
      </c>
      <c r="K8" s="12">
        <v>152.80000000000001</v>
      </c>
      <c r="L8" s="12">
        <v>194.3</v>
      </c>
      <c r="M8" s="12">
        <v>149.30000000000001</v>
      </c>
      <c r="N8" s="12">
        <v>121.6</v>
      </c>
      <c r="O8" s="12">
        <v>105</v>
      </c>
    </row>
    <row r="9" spans="1:16" x14ac:dyDescent="0.45">
      <c r="D9" t="s">
        <v>43</v>
      </c>
      <c r="E9">
        <v>6.6</v>
      </c>
      <c r="F9">
        <v>6.9</v>
      </c>
      <c r="G9">
        <v>7.5</v>
      </c>
      <c r="H9">
        <v>9.4</v>
      </c>
      <c r="I9">
        <v>7.6</v>
      </c>
      <c r="J9">
        <v>9.6</v>
      </c>
      <c r="K9">
        <v>9.8000000000000007</v>
      </c>
      <c r="L9">
        <v>10.9</v>
      </c>
      <c r="M9">
        <v>11.5</v>
      </c>
      <c r="N9">
        <v>11.3</v>
      </c>
      <c r="O9">
        <v>11.5</v>
      </c>
    </row>
    <row r="10" spans="1:16" x14ac:dyDescent="0.45">
      <c r="D10" t="s">
        <v>44</v>
      </c>
      <c r="E10">
        <v>71</v>
      </c>
      <c r="F10">
        <v>86</v>
      </c>
      <c r="G10">
        <v>93.6</v>
      </c>
      <c r="H10">
        <v>122</v>
      </c>
      <c r="I10">
        <v>79.900000000000006</v>
      </c>
      <c r="J10">
        <v>101.5</v>
      </c>
      <c r="K10">
        <v>108</v>
      </c>
      <c r="L10">
        <v>143.6</v>
      </c>
      <c r="M10">
        <v>97.6</v>
      </c>
      <c r="N10">
        <v>58.9</v>
      </c>
      <c r="O10">
        <v>54.6</v>
      </c>
    </row>
    <row r="11" spans="1:16" x14ac:dyDescent="0.45">
      <c r="D11" t="s">
        <v>45</v>
      </c>
      <c r="E11">
        <v>9</v>
      </c>
      <c r="F11">
        <v>8.3000000000000007</v>
      </c>
      <c r="G11">
        <v>7.8</v>
      </c>
      <c r="H11">
        <v>9.3000000000000007</v>
      </c>
      <c r="I11">
        <v>8.4</v>
      </c>
      <c r="J11">
        <v>8.1999999999999993</v>
      </c>
      <c r="K11">
        <v>7.8</v>
      </c>
      <c r="L11">
        <v>8.6999999999999993</v>
      </c>
      <c r="M11">
        <v>9.8000000000000007</v>
      </c>
      <c r="N11">
        <v>10.1</v>
      </c>
      <c r="O11">
        <v>8.3000000000000007</v>
      </c>
    </row>
    <row r="12" spans="1:16" x14ac:dyDescent="0.45">
      <c r="D12" t="s">
        <v>47</v>
      </c>
      <c r="E12">
        <v>13.3</v>
      </c>
      <c r="F12">
        <v>14</v>
      </c>
      <c r="G12">
        <v>12.6</v>
      </c>
      <c r="H12">
        <v>16.100000000000001</v>
      </c>
      <c r="I12">
        <v>15</v>
      </c>
      <c r="J12">
        <v>13.9</v>
      </c>
      <c r="K12">
        <v>14.2</v>
      </c>
      <c r="L12">
        <v>15</v>
      </c>
      <c r="M12">
        <v>16.100000000000001</v>
      </c>
      <c r="N12">
        <v>18</v>
      </c>
      <c r="O12">
        <v>17.899999999999999</v>
      </c>
    </row>
    <row r="13" spans="1:16" x14ac:dyDescent="0.45">
      <c r="D13" t="s">
        <v>46</v>
      </c>
      <c r="E13">
        <v>5.7</v>
      </c>
      <c r="F13">
        <v>6.5</v>
      </c>
      <c r="G13">
        <v>7.6</v>
      </c>
      <c r="H13">
        <v>7.9</v>
      </c>
      <c r="I13">
        <v>6.5</v>
      </c>
      <c r="J13">
        <v>7.4</v>
      </c>
      <c r="K13">
        <v>7.7</v>
      </c>
      <c r="L13">
        <v>10.1</v>
      </c>
      <c r="M13">
        <v>9.8000000000000007</v>
      </c>
      <c r="N13">
        <v>10</v>
      </c>
      <c r="O13">
        <v>9.1999999999999993</v>
      </c>
    </row>
    <row r="14" spans="1:16" x14ac:dyDescent="0.45">
      <c r="D14" t="s">
        <v>48</v>
      </c>
      <c r="E14">
        <v>0</v>
      </c>
      <c r="F14">
        <v>0</v>
      </c>
      <c r="G14">
        <v>-3.8</v>
      </c>
      <c r="H14">
        <v>0</v>
      </c>
      <c r="I14">
        <v>0</v>
      </c>
      <c r="J14">
        <v>14.6</v>
      </c>
      <c r="K14">
        <v>2</v>
      </c>
      <c r="L14">
        <v>2.1</v>
      </c>
      <c r="M14">
        <v>0</v>
      </c>
      <c r="N14">
        <v>1.5</v>
      </c>
      <c r="O14">
        <v>0</v>
      </c>
    </row>
    <row r="15" spans="1:16" x14ac:dyDescent="0.45">
      <c r="D15" t="s">
        <v>49</v>
      </c>
      <c r="E15">
        <v>3.2</v>
      </c>
      <c r="F15">
        <v>3.2</v>
      </c>
      <c r="G15">
        <v>3.7</v>
      </c>
      <c r="H15">
        <v>3.7</v>
      </c>
      <c r="I15">
        <v>3.4</v>
      </c>
      <c r="J15">
        <v>3.4</v>
      </c>
      <c r="K15">
        <v>3.4</v>
      </c>
      <c r="L15">
        <v>3.9</v>
      </c>
      <c r="M15">
        <v>4.5999999999999996</v>
      </c>
      <c r="N15">
        <v>4.8</v>
      </c>
      <c r="O15">
        <v>3.6</v>
      </c>
    </row>
    <row r="16" spans="1:16" x14ac:dyDescent="0.45">
      <c r="D16" t="s">
        <v>50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6.9</v>
      </c>
      <c r="O16">
        <v>0</v>
      </c>
    </row>
    <row r="18" spans="4:55" x14ac:dyDescent="0.45">
      <c r="D18" t="s">
        <v>54</v>
      </c>
      <c r="E18">
        <v>16.5</v>
      </c>
      <c r="F18">
        <v>21.9</v>
      </c>
      <c r="G18">
        <v>29.6</v>
      </c>
      <c r="H18">
        <v>41.2</v>
      </c>
      <c r="I18">
        <v>24.5</v>
      </c>
      <c r="J18">
        <v>19.899999999999999</v>
      </c>
      <c r="K18">
        <v>32.5</v>
      </c>
      <c r="L18">
        <v>39.9</v>
      </c>
      <c r="M18">
        <v>8.5</v>
      </c>
      <c r="N18">
        <v>-12.9</v>
      </c>
      <c r="O18">
        <v>-2.8</v>
      </c>
    </row>
    <row r="19" spans="4:55" x14ac:dyDescent="0.45">
      <c r="D19" t="s">
        <v>52</v>
      </c>
      <c r="E19">
        <v>0.6</v>
      </c>
      <c r="F19">
        <v>0.9</v>
      </c>
      <c r="G19">
        <v>1</v>
      </c>
      <c r="H19">
        <v>2</v>
      </c>
      <c r="I19">
        <v>3.4</v>
      </c>
      <c r="J19">
        <v>5.2</v>
      </c>
      <c r="K19">
        <v>6.1</v>
      </c>
      <c r="L19">
        <v>6.3</v>
      </c>
      <c r="M19">
        <v>5.5</v>
      </c>
      <c r="N19">
        <v>5.7</v>
      </c>
      <c r="O19">
        <v>5.4</v>
      </c>
    </row>
    <row r="20" spans="4:55" x14ac:dyDescent="0.45">
      <c r="D20" t="s">
        <v>53</v>
      </c>
      <c r="E20">
        <v>17.100000000000001</v>
      </c>
      <c r="F20">
        <f>F19+F18</f>
        <v>22.799999999999997</v>
      </c>
      <c r="G20">
        <f t="shared" ref="G20:O20" si="0">G19+G18</f>
        <v>30.6</v>
      </c>
      <c r="H20">
        <f t="shared" si="0"/>
        <v>43.2</v>
      </c>
      <c r="I20">
        <f t="shared" si="0"/>
        <v>27.9</v>
      </c>
      <c r="J20">
        <f t="shared" si="0"/>
        <v>25.099999999999998</v>
      </c>
      <c r="K20">
        <f t="shared" si="0"/>
        <v>38.6</v>
      </c>
      <c r="L20">
        <f t="shared" si="0"/>
        <v>46.199999999999996</v>
      </c>
      <c r="M20">
        <f t="shared" si="0"/>
        <v>14</v>
      </c>
      <c r="N20">
        <f t="shared" si="0"/>
        <v>-7.2</v>
      </c>
      <c r="O20">
        <f t="shared" si="0"/>
        <v>2.6000000000000005</v>
      </c>
    </row>
    <row r="21" spans="4:55" x14ac:dyDescent="0.45">
      <c r="D21" t="s">
        <v>55</v>
      </c>
      <c r="E21">
        <v>1.6</v>
      </c>
      <c r="F21">
        <v>3.3</v>
      </c>
      <c r="G21">
        <v>5</v>
      </c>
      <c r="H21">
        <v>4.5</v>
      </c>
      <c r="I21">
        <v>4.0999999999999996</v>
      </c>
      <c r="J21">
        <v>3.6</v>
      </c>
      <c r="K21">
        <v>5.7</v>
      </c>
      <c r="L21">
        <v>6.7</v>
      </c>
      <c r="M21">
        <v>2.2000000000000002</v>
      </c>
      <c r="N21">
        <v>-1</v>
      </c>
      <c r="O21">
        <v>0.5</v>
      </c>
    </row>
    <row r="22" spans="4:55" x14ac:dyDescent="0.45">
      <c r="D22" s="12" t="s">
        <v>56</v>
      </c>
      <c r="E22" s="12">
        <v>15.5</v>
      </c>
      <c r="F22" s="12">
        <f>F20-F21</f>
        <v>19.499999999999996</v>
      </c>
      <c r="G22" s="12">
        <f t="shared" ref="G22:O22" si="1">G20-G21</f>
        <v>25.6</v>
      </c>
      <c r="H22" s="12">
        <f t="shared" si="1"/>
        <v>38.700000000000003</v>
      </c>
      <c r="I22" s="12">
        <f t="shared" si="1"/>
        <v>23.799999999999997</v>
      </c>
      <c r="J22" s="12">
        <f t="shared" si="1"/>
        <v>21.499999999999996</v>
      </c>
      <c r="K22" s="12">
        <f t="shared" si="1"/>
        <v>32.9</v>
      </c>
      <c r="L22" s="12">
        <f t="shared" si="1"/>
        <v>39.499999999999993</v>
      </c>
      <c r="M22" s="12">
        <f t="shared" si="1"/>
        <v>11.8</v>
      </c>
      <c r="N22" s="12">
        <f t="shared" si="1"/>
        <v>-6.2</v>
      </c>
      <c r="O22" s="12">
        <f t="shared" si="1"/>
        <v>2.1000000000000005</v>
      </c>
      <c r="P22" s="12"/>
    </row>
    <row r="25" spans="4:55" x14ac:dyDescent="0.45">
      <c r="D25" t="s">
        <v>57</v>
      </c>
      <c r="E25" s="27">
        <f>100/E4</f>
        <v>0.79808459696727851</v>
      </c>
      <c r="F25" s="27">
        <f t="shared" ref="F25:O25" si="2">100/F4</f>
        <v>0.681663258350375</v>
      </c>
      <c r="G25" s="27">
        <f t="shared" si="2"/>
        <v>0.63051702395964693</v>
      </c>
      <c r="H25" s="27">
        <f t="shared" si="2"/>
        <v>0.47687172150691465</v>
      </c>
      <c r="I25" s="27">
        <f t="shared" si="2"/>
        <v>0.68870523415977969</v>
      </c>
      <c r="J25" s="27">
        <f t="shared" si="2"/>
        <v>0.56022408963585435</v>
      </c>
      <c r="K25" s="27">
        <f t="shared" si="2"/>
        <v>0.53966540744738256</v>
      </c>
      <c r="L25" s="27">
        <f t="shared" si="2"/>
        <v>0.42698548249359525</v>
      </c>
      <c r="M25" s="27">
        <f t="shared" si="2"/>
        <v>0.6337135614702154</v>
      </c>
      <c r="N25" s="27">
        <f t="shared" si="2"/>
        <v>0.91996320147194111</v>
      </c>
      <c r="O25" s="27">
        <f t="shared" si="2"/>
        <v>0.97847358121330719</v>
      </c>
    </row>
    <row r="26" spans="4:55" x14ac:dyDescent="0.45">
      <c r="D26" t="s">
        <v>59</v>
      </c>
      <c r="E26" s="27">
        <f>E22/E4</f>
        <v>0.12370311252992817</v>
      </c>
      <c r="F26" s="27">
        <f t="shared" ref="F26:O26" si="3">F22/F4</f>
        <v>0.1329243353783231</v>
      </c>
      <c r="G26" s="27">
        <f t="shared" si="3"/>
        <v>0.16141235813366964</v>
      </c>
      <c r="H26" s="27">
        <f t="shared" si="3"/>
        <v>0.18454935622317598</v>
      </c>
      <c r="I26" s="27">
        <f t="shared" si="3"/>
        <v>0.16391184573002754</v>
      </c>
      <c r="J26" s="27">
        <f t="shared" si="3"/>
        <v>0.12044817927170866</v>
      </c>
      <c r="K26" s="27">
        <f t="shared" si="3"/>
        <v>0.17754991905018885</v>
      </c>
      <c r="L26" s="27">
        <f t="shared" si="3"/>
        <v>0.16865926558497008</v>
      </c>
      <c r="M26" s="27">
        <f t="shared" si="3"/>
        <v>7.477820025348543E-2</v>
      </c>
      <c r="N26" s="27">
        <f t="shared" si="3"/>
        <v>-5.7037718491260353E-2</v>
      </c>
      <c r="O26" s="27">
        <f t="shared" si="3"/>
        <v>2.0547945205479458E-2</v>
      </c>
    </row>
    <row r="27" spans="4:55" x14ac:dyDescent="0.45">
      <c r="D27" t="s">
        <v>60</v>
      </c>
      <c r="E27" s="27">
        <f>E4/E8</f>
        <v>1.1516544117647058</v>
      </c>
      <c r="F27" s="27">
        <f t="shared" ref="F27:O27" si="4">F4/F8</f>
        <v>1.1754807692307692</v>
      </c>
      <c r="G27" s="27">
        <f t="shared" si="4"/>
        <v>1.2294573643410853</v>
      </c>
      <c r="H27" s="27">
        <f t="shared" si="4"/>
        <v>1.2445103857566764</v>
      </c>
      <c r="I27" s="27">
        <f t="shared" si="4"/>
        <v>1.2039800995024876</v>
      </c>
      <c r="J27" s="27">
        <f t="shared" si="4"/>
        <v>1.1254728877679698</v>
      </c>
      <c r="K27" s="27">
        <f t="shared" si="4"/>
        <v>1.212696335078534</v>
      </c>
      <c r="L27" s="27">
        <f t="shared" si="4"/>
        <v>1.2053525476067934</v>
      </c>
      <c r="M27" s="27">
        <f t="shared" si="4"/>
        <v>1.056932350971199</v>
      </c>
      <c r="N27" s="27">
        <f t="shared" si="4"/>
        <v>0.89391447368421062</v>
      </c>
      <c r="O27" s="27">
        <f t="shared" si="4"/>
        <v>0.97333333333333338</v>
      </c>
    </row>
    <row r="28" spans="4:55" x14ac:dyDescent="0.45">
      <c r="D28" t="s">
        <v>58</v>
      </c>
      <c r="E28" s="27">
        <f>AVERAGE(E26:L26)</f>
        <v>0.15414479648774901</v>
      </c>
      <c r="F28" s="27"/>
      <c r="G28" s="27"/>
      <c r="N28" s="27"/>
      <c r="O28" s="27"/>
    </row>
    <row r="29" spans="4:55" x14ac:dyDescent="0.45">
      <c r="H29" s="27" t="s">
        <v>65</v>
      </c>
      <c r="I29" s="27"/>
      <c r="J29" s="27"/>
      <c r="K29" s="27"/>
      <c r="L29" s="27"/>
      <c r="M29" s="27"/>
    </row>
    <row r="30" spans="4:55" x14ac:dyDescent="0.45">
      <c r="G30" t="s">
        <v>64</v>
      </c>
      <c r="H30">
        <f>E28*100</f>
        <v>15.414479648774901</v>
      </c>
      <c r="I30">
        <f>H30*0.97</f>
        <v>14.952045259311653</v>
      </c>
      <c r="J30">
        <f t="shared" ref="J30:BC30" si="5">I30*0.97</f>
        <v>14.503483901532302</v>
      </c>
      <c r="K30">
        <f t="shared" si="5"/>
        <v>14.068379384486333</v>
      </c>
      <c r="L30">
        <f t="shared" si="5"/>
        <v>13.646328002951742</v>
      </c>
      <c r="M30">
        <f t="shared" si="5"/>
        <v>13.23693816286319</v>
      </c>
      <c r="N30">
        <f t="shared" si="5"/>
        <v>12.839830017977294</v>
      </c>
      <c r="O30">
        <f t="shared" si="5"/>
        <v>12.454635117437974</v>
      </c>
      <c r="P30">
        <f t="shared" si="5"/>
        <v>12.080996063914833</v>
      </c>
      <c r="Q30">
        <f t="shared" si="5"/>
        <v>11.718566181997389</v>
      </c>
      <c r="R30">
        <f t="shared" si="5"/>
        <v>11.367009196537467</v>
      </c>
      <c r="S30">
        <f t="shared" si="5"/>
        <v>11.025998920641342</v>
      </c>
      <c r="T30">
        <f t="shared" si="5"/>
        <v>10.695218953022101</v>
      </c>
      <c r="U30">
        <f t="shared" si="5"/>
        <v>10.374362384431437</v>
      </c>
      <c r="V30">
        <f t="shared" si="5"/>
        <v>10.063131512898494</v>
      </c>
      <c r="W30">
        <f t="shared" si="5"/>
        <v>9.7612375675115395</v>
      </c>
      <c r="X30">
        <f t="shared" si="5"/>
        <v>9.4684004404861923</v>
      </c>
      <c r="Y30">
        <f t="shared" si="5"/>
        <v>9.1843484272716065</v>
      </c>
      <c r="Z30">
        <f t="shared" si="5"/>
        <v>8.9088179744534575</v>
      </c>
      <c r="AA30">
        <f t="shared" si="5"/>
        <v>8.6415534352198531</v>
      </c>
      <c r="AB30">
        <f t="shared" si="5"/>
        <v>8.3823068321632572</v>
      </c>
      <c r="AC30">
        <f t="shared" si="5"/>
        <v>8.1308376271983587</v>
      </c>
      <c r="AD30">
        <f t="shared" si="5"/>
        <v>7.8869124983824079</v>
      </c>
      <c r="AE30">
        <f t="shared" si="5"/>
        <v>7.6503051234309352</v>
      </c>
      <c r="AF30">
        <f t="shared" si="5"/>
        <v>7.4207959697280073</v>
      </c>
      <c r="AG30">
        <f t="shared" si="5"/>
        <v>7.1981720906361666</v>
      </c>
      <c r="AH30">
        <f t="shared" si="5"/>
        <v>6.9822269279170817</v>
      </c>
      <c r="AI30">
        <f t="shared" si="5"/>
        <v>6.7727601200795693</v>
      </c>
      <c r="AJ30">
        <f t="shared" si="5"/>
        <v>6.569577316477182</v>
      </c>
      <c r="AK30">
        <f t="shared" si="5"/>
        <v>6.3724899969828668</v>
      </c>
      <c r="AL30">
        <f t="shared" si="5"/>
        <v>6.1813152970733807</v>
      </c>
      <c r="AM30">
        <f t="shared" si="5"/>
        <v>5.9958758381611794</v>
      </c>
      <c r="AN30">
        <f t="shared" si="5"/>
        <v>5.8159995630163435</v>
      </c>
      <c r="AO30">
        <f t="shared" si="5"/>
        <v>5.6415195761258534</v>
      </c>
      <c r="AP30">
        <f t="shared" si="5"/>
        <v>5.4722739888420779</v>
      </c>
      <c r="AQ30">
        <f t="shared" si="5"/>
        <v>5.3081057691768159</v>
      </c>
      <c r="AR30">
        <f t="shared" si="5"/>
        <v>5.1488625961015115</v>
      </c>
      <c r="AS30">
        <f t="shared" si="5"/>
        <v>4.9943967182184661</v>
      </c>
      <c r="AT30">
        <f t="shared" si="5"/>
        <v>4.8445648166719124</v>
      </c>
      <c r="AU30">
        <f t="shared" si="5"/>
        <v>4.6992278721717549</v>
      </c>
      <c r="AV30">
        <f t="shared" si="5"/>
        <v>4.5582510360066024</v>
      </c>
      <c r="AW30">
        <f t="shared" si="5"/>
        <v>4.4215035049264042</v>
      </c>
      <c r="AX30">
        <f t="shared" si="5"/>
        <v>4.2888583997786123</v>
      </c>
      <c r="AY30">
        <f t="shared" si="5"/>
        <v>4.1601926477852542</v>
      </c>
      <c r="AZ30">
        <f t="shared" si="5"/>
        <v>4.0353868683516962</v>
      </c>
      <c r="BA30">
        <f t="shared" si="5"/>
        <v>3.9143252623011451</v>
      </c>
      <c r="BB30">
        <f t="shared" si="5"/>
        <v>3.7968955044321104</v>
      </c>
      <c r="BC30">
        <f t="shared" si="5"/>
        <v>3.6829886392991469</v>
      </c>
    </row>
    <row r="31" spans="4:55" x14ac:dyDescent="0.45">
      <c r="G31" t="s">
        <v>74</v>
      </c>
    </row>
    <row r="33" spans="5:18" x14ac:dyDescent="0.45">
      <c r="G33" t="s">
        <v>61</v>
      </c>
      <c r="H33" s="28">
        <f>NPV(10%, H30:ZZ30)</f>
        <v>118.28966388236587</v>
      </c>
    </row>
    <row r="34" spans="5:18" x14ac:dyDescent="0.45">
      <c r="G34" t="s">
        <v>62</v>
      </c>
    </row>
    <row r="35" spans="5:18" x14ac:dyDescent="0.45">
      <c r="G35" t="s">
        <v>63</v>
      </c>
    </row>
    <row r="38" spans="5:18" x14ac:dyDescent="0.45">
      <c r="G38" t="s">
        <v>29</v>
      </c>
      <c r="H38" t="s">
        <v>30</v>
      </c>
      <c r="I38" t="s">
        <v>32</v>
      </c>
      <c r="J38" t="s">
        <v>33</v>
      </c>
      <c r="K38" t="s">
        <v>34</v>
      </c>
      <c r="L38" t="s">
        <v>35</v>
      </c>
      <c r="M38" t="s">
        <v>31</v>
      </c>
      <c r="N38" t="s">
        <v>36</v>
      </c>
      <c r="O38" t="s">
        <v>37</v>
      </c>
      <c r="P38" t="s">
        <v>38</v>
      </c>
      <c r="Q38" t="s">
        <v>39</v>
      </c>
      <c r="R38" t="s">
        <v>40</v>
      </c>
    </row>
    <row r="39" spans="5:18" x14ac:dyDescent="0.45">
      <c r="E39" t="s">
        <v>66</v>
      </c>
      <c r="G39">
        <v>23.6</v>
      </c>
      <c r="H39">
        <v>25.7</v>
      </c>
      <c r="I39">
        <v>34.700000000000003</v>
      </c>
      <c r="J39">
        <v>38.200000000000003</v>
      </c>
      <c r="K39">
        <v>17.8</v>
      </c>
      <c r="L39">
        <v>47.4</v>
      </c>
      <c r="M39">
        <v>40.1</v>
      </c>
      <c r="N39">
        <v>50.2</v>
      </c>
      <c r="O39">
        <v>6.9</v>
      </c>
      <c r="P39">
        <v>-20.5</v>
      </c>
      <c r="Q39">
        <v>16.2</v>
      </c>
    </row>
    <row r="40" spans="5:18" x14ac:dyDescent="0.45">
      <c r="E40" t="s">
        <v>67</v>
      </c>
      <c r="G40">
        <v>-36.1</v>
      </c>
      <c r="H40">
        <v>-7.3</v>
      </c>
      <c r="I40">
        <v>31.3</v>
      </c>
      <c r="J40">
        <v>-34.700000000000003</v>
      </c>
      <c r="K40">
        <v>-49.4</v>
      </c>
      <c r="L40">
        <v>5</v>
      </c>
      <c r="M40">
        <v>-28.2</v>
      </c>
      <c r="N40">
        <v>-60.7</v>
      </c>
      <c r="O40">
        <v>-20.100000000000001</v>
      </c>
      <c r="P40">
        <v>43.4</v>
      </c>
      <c r="Q40">
        <v>28.5</v>
      </c>
    </row>
    <row r="41" spans="5:18" x14ac:dyDescent="0.45">
      <c r="E41" t="s">
        <v>68</v>
      </c>
      <c r="G41">
        <v>0.9</v>
      </c>
      <c r="H41">
        <v>-8.6999999999999993</v>
      </c>
      <c r="I41">
        <v>3.1</v>
      </c>
      <c r="J41">
        <v>1.4</v>
      </c>
      <c r="K41">
        <v>-11.2</v>
      </c>
      <c r="L41">
        <v>0.1</v>
      </c>
      <c r="M41">
        <v>0.2</v>
      </c>
      <c r="N41">
        <v>0.1</v>
      </c>
      <c r="O41">
        <v>0.3</v>
      </c>
      <c r="P41">
        <v>-51.6</v>
      </c>
      <c r="Q41">
        <v>-36.200000000000003</v>
      </c>
    </row>
    <row r="42" spans="5:18" x14ac:dyDescent="0.45">
      <c r="E42" t="s">
        <v>69</v>
      </c>
      <c r="G42">
        <f t="shared" ref="G42:Q42" si="6">SUM(G39:G41)</f>
        <v>-11.6</v>
      </c>
      <c r="H42">
        <f t="shared" si="6"/>
        <v>9.6999999999999993</v>
      </c>
      <c r="I42">
        <f t="shared" si="6"/>
        <v>69.099999999999994</v>
      </c>
      <c r="J42">
        <f t="shared" si="6"/>
        <v>4.9000000000000004</v>
      </c>
      <c r="K42">
        <f t="shared" si="6"/>
        <v>-42.8</v>
      </c>
      <c r="L42">
        <f t="shared" si="6"/>
        <v>52.5</v>
      </c>
      <c r="M42">
        <f t="shared" si="6"/>
        <v>12.100000000000001</v>
      </c>
      <c r="N42">
        <f t="shared" si="6"/>
        <v>-10.4</v>
      </c>
      <c r="O42">
        <f t="shared" si="6"/>
        <v>-12.9</v>
      </c>
      <c r="P42">
        <f t="shared" si="6"/>
        <v>-28.700000000000003</v>
      </c>
      <c r="Q42">
        <f t="shared" si="6"/>
        <v>8.5</v>
      </c>
    </row>
    <row r="43" spans="5:18" x14ac:dyDescent="0.45">
      <c r="E43" t="s">
        <v>71</v>
      </c>
      <c r="G43">
        <f t="shared" ref="G43:Q43" si="7">G39+G40</f>
        <v>-12.5</v>
      </c>
      <c r="H43">
        <f t="shared" si="7"/>
        <v>18.399999999999999</v>
      </c>
      <c r="I43">
        <f t="shared" si="7"/>
        <v>66</v>
      </c>
      <c r="J43">
        <f t="shared" si="7"/>
        <v>3.5</v>
      </c>
      <c r="K43">
        <f t="shared" si="7"/>
        <v>-31.599999999999998</v>
      </c>
      <c r="L43">
        <f t="shared" si="7"/>
        <v>52.4</v>
      </c>
      <c r="M43">
        <f t="shared" si="7"/>
        <v>11.900000000000002</v>
      </c>
      <c r="N43">
        <f t="shared" si="7"/>
        <v>-10.5</v>
      </c>
      <c r="O43">
        <f t="shared" si="7"/>
        <v>-13.200000000000001</v>
      </c>
      <c r="P43">
        <f t="shared" si="7"/>
        <v>22.9</v>
      </c>
      <c r="Q43">
        <f t="shared" si="7"/>
        <v>44.7</v>
      </c>
    </row>
    <row r="44" spans="5:18" x14ac:dyDescent="0.45">
      <c r="E44" t="s">
        <v>75</v>
      </c>
      <c r="G44" s="1">
        <f t="shared" ref="G44:Q44" si="8">G39*E25</f>
        <v>18.834796488427774</v>
      </c>
      <c r="H44" s="1">
        <f t="shared" si="8"/>
        <v>17.518745739604636</v>
      </c>
      <c r="I44" s="1">
        <f t="shared" si="8"/>
        <v>21.878940731399751</v>
      </c>
      <c r="J44" s="1">
        <f t="shared" si="8"/>
        <v>18.21649976156414</v>
      </c>
      <c r="K44" s="1">
        <f t="shared" si="8"/>
        <v>12.258953168044078</v>
      </c>
      <c r="L44" s="1">
        <f t="shared" si="8"/>
        <v>26.554621848739494</v>
      </c>
      <c r="M44" s="1">
        <f t="shared" si="8"/>
        <v>21.640582838640043</v>
      </c>
      <c r="N44" s="1">
        <f t="shared" si="8"/>
        <v>21.434671221178483</v>
      </c>
      <c r="O44" s="1">
        <f t="shared" si="8"/>
        <v>4.3726235741444865</v>
      </c>
      <c r="P44" s="1">
        <f t="shared" si="8"/>
        <v>-18.859245630174794</v>
      </c>
      <c r="Q44" s="1">
        <f t="shared" si="8"/>
        <v>15.851272015655576</v>
      </c>
      <c r="R44" s="1"/>
    </row>
    <row r="45" spans="5:18" x14ac:dyDescent="0.45">
      <c r="E45" t="s">
        <v>76</v>
      </c>
      <c r="G45">
        <v>-0.252</v>
      </c>
      <c r="H45">
        <v>-0.183</v>
      </c>
      <c r="I45">
        <v>-0.34899999999999998</v>
      </c>
      <c r="J45">
        <v>-0.26700000000000002</v>
      </c>
      <c r="K45">
        <v>-0.13400000000000001</v>
      </c>
      <c r="L45">
        <v>-0.217</v>
      </c>
      <c r="M45">
        <v>-0.152</v>
      </c>
      <c r="N45">
        <v>-0.29499999999999998</v>
      </c>
      <c r="O45">
        <v>-0.439</v>
      </c>
      <c r="P45">
        <v>-0.68200000000000005</v>
      </c>
      <c r="Q45">
        <v>-4</v>
      </c>
    </row>
    <row r="46" spans="5:18" x14ac:dyDescent="0.45">
      <c r="E46" t="s">
        <v>78</v>
      </c>
      <c r="G46" s="30">
        <f>G44+G45</f>
        <v>18.582796488427775</v>
      </c>
      <c r="H46" s="30">
        <f t="shared" ref="H46:Q46" si="9">H44+H45</f>
        <v>17.335745739604636</v>
      </c>
      <c r="I46" s="30">
        <f t="shared" si="9"/>
        <v>21.529940731399751</v>
      </c>
      <c r="J46" s="30">
        <f t="shared" si="9"/>
        <v>17.949499761564141</v>
      </c>
      <c r="K46" s="30">
        <f t="shared" si="9"/>
        <v>12.124953168044078</v>
      </c>
      <c r="L46" s="30">
        <f t="shared" si="9"/>
        <v>26.337621848739495</v>
      </c>
      <c r="M46" s="30">
        <f t="shared" si="9"/>
        <v>21.488582838640042</v>
      </c>
      <c r="N46" s="30">
        <f t="shared" si="9"/>
        <v>21.139671221178482</v>
      </c>
      <c r="O46" s="30">
        <f t="shared" si="9"/>
        <v>3.9336235741444865</v>
      </c>
      <c r="P46" s="30">
        <f t="shared" si="9"/>
        <v>-19.541245630174792</v>
      </c>
      <c r="Q46" s="30">
        <f t="shared" si="9"/>
        <v>11.851272015655576</v>
      </c>
    </row>
    <row r="47" spans="5:18" x14ac:dyDescent="0.45">
      <c r="G47" t="s">
        <v>70</v>
      </c>
      <c r="H47">
        <f>AVERAGE(G42:Q42)</f>
        <v>4.5818181818181811</v>
      </c>
      <c r="J47" t="s">
        <v>82</v>
      </c>
    </row>
    <row r="48" spans="5:18" x14ac:dyDescent="0.45">
      <c r="G48" t="s">
        <v>72</v>
      </c>
      <c r="H48">
        <f>AVERAGE(G43:Q43)</f>
        <v>13.818181818181818</v>
      </c>
      <c r="J48" t="s">
        <v>79</v>
      </c>
      <c r="K48" s="30">
        <f>AVERAGE(G46:Q46)</f>
        <v>13.884769250656696</v>
      </c>
      <c r="M48" s="29"/>
      <c r="N48" s="29"/>
    </row>
    <row r="49" spans="5:85" x14ac:dyDescent="0.45">
      <c r="G49" t="s">
        <v>73</v>
      </c>
      <c r="H49">
        <f>AVERAGE(G39:Q39)</f>
        <v>25.481818181818177</v>
      </c>
      <c r="J49" t="s">
        <v>80</v>
      </c>
      <c r="K49" s="29">
        <f>K48</f>
        <v>13.884769250656696</v>
      </c>
      <c r="L49" s="29">
        <f>K49*0.97</f>
        <v>13.468226173136994</v>
      </c>
      <c r="M49" s="29">
        <f t="shared" ref="M49:BX49" si="10">L49*0.97</f>
        <v>13.064179387942884</v>
      </c>
      <c r="N49" s="29">
        <f t="shared" si="10"/>
        <v>12.672254006304597</v>
      </c>
      <c r="O49" s="29">
        <f t="shared" si="10"/>
        <v>12.292086386115459</v>
      </c>
      <c r="P49" s="29">
        <f t="shared" si="10"/>
        <v>11.923323794531996</v>
      </c>
      <c r="Q49" s="29">
        <f t="shared" si="10"/>
        <v>11.565624080696036</v>
      </c>
      <c r="R49" s="29">
        <f t="shared" si="10"/>
        <v>11.218655358275155</v>
      </c>
      <c r="S49" s="29">
        <f t="shared" si="10"/>
        <v>10.8820956975269</v>
      </c>
      <c r="T49" s="29">
        <f t="shared" si="10"/>
        <v>10.555632826601093</v>
      </c>
      <c r="U49" s="29">
        <f t="shared" si="10"/>
        <v>10.238963841803059</v>
      </c>
      <c r="V49" s="29">
        <f t="shared" si="10"/>
        <v>9.9317949265489673</v>
      </c>
      <c r="W49" s="29">
        <f t="shared" si="10"/>
        <v>9.6338410787524982</v>
      </c>
      <c r="X49" s="29">
        <f t="shared" si="10"/>
        <v>9.3448258463899236</v>
      </c>
      <c r="Y49" s="29">
        <f t="shared" si="10"/>
        <v>9.0644810709982249</v>
      </c>
      <c r="Z49" s="29">
        <f t="shared" si="10"/>
        <v>8.7925466388682771</v>
      </c>
      <c r="AA49" s="29">
        <f t="shared" si="10"/>
        <v>8.5287702397022294</v>
      </c>
      <c r="AB49" s="29">
        <f t="shared" si="10"/>
        <v>8.2729071325111629</v>
      </c>
      <c r="AC49" s="29">
        <f t="shared" si="10"/>
        <v>8.024719918535828</v>
      </c>
      <c r="AD49" s="29">
        <f t="shared" si="10"/>
        <v>7.7839783209797533</v>
      </c>
      <c r="AE49" s="29">
        <f t="shared" si="10"/>
        <v>7.55045897135036</v>
      </c>
      <c r="AF49" s="29">
        <f t="shared" si="10"/>
        <v>7.323945202209849</v>
      </c>
      <c r="AG49" s="29">
        <f t="shared" si="10"/>
        <v>7.1042268461435532</v>
      </c>
      <c r="AH49" s="29">
        <f t="shared" si="10"/>
        <v>6.8911000407592464</v>
      </c>
      <c r="AI49" s="29">
        <f t="shared" si="10"/>
        <v>6.6843670395364692</v>
      </c>
      <c r="AJ49" s="29">
        <f t="shared" si="10"/>
        <v>6.4838360283503746</v>
      </c>
      <c r="AK49" s="29">
        <f t="shared" si="10"/>
        <v>6.2893209474998635</v>
      </c>
      <c r="AL49" s="29">
        <f t="shared" si="10"/>
        <v>6.1006413190748674</v>
      </c>
      <c r="AM49" s="29">
        <f t="shared" si="10"/>
        <v>5.9176220795026211</v>
      </c>
      <c r="AN49" s="29">
        <f t="shared" si="10"/>
        <v>5.7400934171175422</v>
      </c>
      <c r="AO49" s="29">
        <f t="shared" si="10"/>
        <v>5.5678906146040159</v>
      </c>
      <c r="AP49" s="29">
        <f t="shared" si="10"/>
        <v>5.400853896165895</v>
      </c>
      <c r="AQ49" s="29">
        <f t="shared" si="10"/>
        <v>5.2388282792809182</v>
      </c>
      <c r="AR49" s="29">
        <f t="shared" si="10"/>
        <v>5.0816634309024904</v>
      </c>
      <c r="AS49" s="29">
        <f t="shared" si="10"/>
        <v>4.9292135279754152</v>
      </c>
      <c r="AT49" s="29">
        <f t="shared" si="10"/>
        <v>4.7813371221361525</v>
      </c>
      <c r="AU49" s="29">
        <f t="shared" si="10"/>
        <v>4.6378970084720681</v>
      </c>
      <c r="AV49" s="29">
        <f t="shared" si="10"/>
        <v>4.4987600982179057</v>
      </c>
      <c r="AW49" s="29">
        <f t="shared" si="10"/>
        <v>4.3637972952713682</v>
      </c>
      <c r="AX49" s="29">
        <f t="shared" si="10"/>
        <v>4.232883376413227</v>
      </c>
      <c r="AY49" s="29">
        <f t="shared" si="10"/>
        <v>4.1058968751208305</v>
      </c>
      <c r="AZ49" s="29">
        <f t="shared" si="10"/>
        <v>3.9827199688672055</v>
      </c>
      <c r="BA49" s="29">
        <f t="shared" si="10"/>
        <v>3.8632383698011892</v>
      </c>
      <c r="BB49" s="29">
        <f t="shared" si="10"/>
        <v>3.7473412187071533</v>
      </c>
      <c r="BC49" s="29">
        <f t="shared" si="10"/>
        <v>3.6349209821459385</v>
      </c>
      <c r="BD49" s="29">
        <f t="shared" si="10"/>
        <v>3.5258733526815602</v>
      </c>
      <c r="BE49" s="29">
        <f t="shared" si="10"/>
        <v>3.4200971521011132</v>
      </c>
      <c r="BF49" s="29">
        <f t="shared" si="10"/>
        <v>3.3174942375380798</v>
      </c>
      <c r="BG49" s="29">
        <f t="shared" si="10"/>
        <v>3.2179694104119374</v>
      </c>
      <c r="BH49" s="29">
        <f t="shared" si="10"/>
        <v>3.1214303280995792</v>
      </c>
      <c r="BI49" s="29">
        <f t="shared" si="10"/>
        <v>3.0277874182565916</v>
      </c>
      <c r="BJ49" s="29">
        <f t="shared" si="10"/>
        <v>2.9369537957088938</v>
      </c>
      <c r="BK49" s="29">
        <f t="shared" si="10"/>
        <v>2.848845181837627</v>
      </c>
      <c r="BL49" s="29">
        <f t="shared" si="10"/>
        <v>2.763379826382498</v>
      </c>
      <c r="BM49" s="29">
        <f t="shared" si="10"/>
        <v>2.6804784315910228</v>
      </c>
      <c r="BN49" s="29">
        <f t="shared" si="10"/>
        <v>2.600064078643292</v>
      </c>
      <c r="BO49" s="29">
        <f t="shared" si="10"/>
        <v>2.5220621562839933</v>
      </c>
      <c r="BP49" s="29">
        <f t="shared" si="10"/>
        <v>2.4464002915954737</v>
      </c>
      <c r="BQ49" s="29">
        <f t="shared" si="10"/>
        <v>2.3730082828476093</v>
      </c>
      <c r="BR49" s="29">
        <f t="shared" si="10"/>
        <v>2.301818034362181</v>
      </c>
      <c r="BS49" s="29">
        <f t="shared" si="10"/>
        <v>2.2327634933313156</v>
      </c>
      <c r="BT49" s="29">
        <f t="shared" si="10"/>
        <v>2.1657805885313759</v>
      </c>
      <c r="BU49" s="29">
        <f t="shared" si="10"/>
        <v>2.1008071708754343</v>
      </c>
      <c r="BV49" s="29">
        <f t="shared" si="10"/>
        <v>2.0377829557491713</v>
      </c>
      <c r="BW49" s="29">
        <f t="shared" si="10"/>
        <v>1.9766494670766961</v>
      </c>
      <c r="BX49" s="29">
        <f t="shared" si="10"/>
        <v>1.9173499830643952</v>
      </c>
      <c r="BY49" s="29">
        <f t="shared" ref="BY49:CG49" si="11">BX49*0.97</f>
        <v>1.8598294835724634</v>
      </c>
      <c r="BZ49" s="29">
        <f t="shared" si="11"/>
        <v>1.8040345990652895</v>
      </c>
      <c r="CA49" s="29">
        <f t="shared" si="11"/>
        <v>1.7499135610933307</v>
      </c>
      <c r="CB49" s="29">
        <f t="shared" si="11"/>
        <v>1.6974161542605308</v>
      </c>
      <c r="CC49" s="29">
        <f t="shared" si="11"/>
        <v>1.6464936696327148</v>
      </c>
      <c r="CD49" s="29">
        <f t="shared" si="11"/>
        <v>1.5970988595437334</v>
      </c>
      <c r="CE49" s="29">
        <f t="shared" si="11"/>
        <v>1.5491858937574214</v>
      </c>
      <c r="CF49" s="29">
        <f t="shared" si="11"/>
        <v>1.5027103169446987</v>
      </c>
      <c r="CG49" s="29">
        <f t="shared" si="11"/>
        <v>1.4576290074363576</v>
      </c>
    </row>
    <row r="50" spans="5:85" x14ac:dyDescent="0.45">
      <c r="J50" t="s">
        <v>61</v>
      </c>
      <c r="K50" s="28">
        <f>NPV(10%, K49:BC49)</f>
        <v>106.43382343516562</v>
      </c>
    </row>
    <row r="51" spans="5:85" x14ac:dyDescent="0.45">
      <c r="E51" t="s">
        <v>77</v>
      </c>
    </row>
    <row r="54" spans="5:85" x14ac:dyDescent="0.45">
      <c r="J54" t="s">
        <v>81</v>
      </c>
    </row>
    <row r="55" spans="5:85" x14ac:dyDescent="0.45">
      <c r="J55" t="s">
        <v>79</v>
      </c>
      <c r="K55">
        <v>13.88</v>
      </c>
    </row>
    <row r="56" spans="5:85" x14ac:dyDescent="0.45">
      <c r="J56" t="s">
        <v>80</v>
      </c>
      <c r="K56">
        <f>K55</f>
        <v>13.88</v>
      </c>
      <c r="L56">
        <f>K56*1.03</f>
        <v>14.296400000000002</v>
      </c>
      <c r="M56">
        <f t="shared" ref="M56:AR56" si="12">L56*1.03</f>
        <v>14.725292000000003</v>
      </c>
      <c r="N56">
        <f t="shared" si="12"/>
        <v>15.167050760000004</v>
      </c>
      <c r="O56">
        <f t="shared" si="12"/>
        <v>15.622062282800005</v>
      </c>
      <c r="P56">
        <f t="shared" si="12"/>
        <v>16.090724151284007</v>
      </c>
      <c r="Q56">
        <f t="shared" si="12"/>
        <v>16.573445875822529</v>
      </c>
      <c r="R56">
        <f t="shared" si="12"/>
        <v>17.070649252097205</v>
      </c>
      <c r="S56">
        <f t="shared" si="12"/>
        <v>17.58276872966012</v>
      </c>
      <c r="T56">
        <f t="shared" si="12"/>
        <v>18.110251791549924</v>
      </c>
      <c r="U56">
        <f t="shared" si="12"/>
        <v>18.653559345296422</v>
      </c>
      <c r="V56">
        <f t="shared" si="12"/>
        <v>19.213166125655317</v>
      </c>
      <c r="W56">
        <f t="shared" si="12"/>
        <v>19.789561109424977</v>
      </c>
      <c r="X56">
        <f t="shared" si="12"/>
        <v>20.383247942707726</v>
      </c>
      <c r="Y56">
        <f t="shared" si="12"/>
        <v>20.994745380988959</v>
      </c>
      <c r="Z56">
        <f t="shared" si="12"/>
        <v>21.62458774241863</v>
      </c>
      <c r="AA56">
        <f t="shared" si="12"/>
        <v>22.27332537469119</v>
      </c>
      <c r="AB56">
        <f t="shared" si="12"/>
        <v>22.941525135931926</v>
      </c>
      <c r="AC56">
        <f t="shared" si="12"/>
        <v>23.629770890009883</v>
      </c>
      <c r="AD56">
        <f t="shared" si="12"/>
        <v>24.33866401671018</v>
      </c>
      <c r="AE56">
        <f t="shared" si="12"/>
        <v>25.068823937211487</v>
      </c>
      <c r="AF56">
        <f t="shared" si="12"/>
        <v>25.820888655327831</v>
      </c>
      <c r="AG56">
        <f t="shared" si="12"/>
        <v>26.595515314987665</v>
      </c>
      <c r="AH56">
        <f t="shared" si="12"/>
        <v>27.393380774437297</v>
      </c>
      <c r="AI56">
        <f t="shared" si="12"/>
        <v>28.215182197670416</v>
      </c>
      <c r="AJ56">
        <f t="shared" si="12"/>
        <v>29.061637663600528</v>
      </c>
      <c r="AK56">
        <f t="shared" si="12"/>
        <v>29.933486793508546</v>
      </c>
      <c r="AL56">
        <f t="shared" si="12"/>
        <v>30.831491397313805</v>
      </c>
      <c r="AM56">
        <f t="shared" si="12"/>
        <v>31.75643613923322</v>
      </c>
      <c r="AN56">
        <f t="shared" si="12"/>
        <v>32.709129223410216</v>
      </c>
      <c r="AO56">
        <f t="shared" si="12"/>
        <v>33.690403100112526</v>
      </c>
      <c r="AP56">
        <f t="shared" si="12"/>
        <v>34.701115193115903</v>
      </c>
      <c r="AQ56">
        <f t="shared" si="12"/>
        <v>35.742148648909378</v>
      </c>
      <c r="AR56">
        <f t="shared" si="12"/>
        <v>36.814413108376662</v>
      </c>
    </row>
    <row r="57" spans="5:85" x14ac:dyDescent="0.45">
      <c r="J57" t="s">
        <v>61</v>
      </c>
      <c r="K57" s="28">
        <f>NPV(10%, K56:BC56)</f>
        <v>177.08230137921097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PERI</vt:lpstr>
      <vt:lpstr>Balance Sheet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Martim Silva Lobo</dc:creator>
  <cp:lastModifiedBy>Martim Silva Lobo</cp:lastModifiedBy>
  <dcterms:created xsi:type="dcterms:W3CDTF">2015-06-05T18:19:34Z</dcterms:created>
  <dcterms:modified xsi:type="dcterms:W3CDTF">2024-11-17T14:51:43Z</dcterms:modified>
</cp:coreProperties>
</file>