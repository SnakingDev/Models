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Stock Research/PAH3/"/>
    </mc:Choice>
  </mc:AlternateContent>
  <xr:revisionPtr revIDLastSave="700" documentId="11_AD4DF034E34935FBC521DCE2FF5B45405ADEDD89" xr6:coauthVersionLast="47" xr6:coauthVersionMax="47" xr10:uidLastSave="{1991EEDC-CCE6-4606-8D9C-9338CC69068A}"/>
  <bookViews>
    <workbookView xWindow="-98" yWindow="-98" windowWidth="20715" windowHeight="13155" activeTab="2" xr2:uid="{00000000-000D-0000-FFFF-FFFF00000000}"/>
  </bookViews>
  <sheets>
    <sheet name="PAH3" sheetId="1" r:id="rId1"/>
    <sheet name="Balance Sheet" sheetId="3" r:id="rId2"/>
    <sheet name="Income State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16" i="2"/>
  <c r="G16" i="2"/>
  <c r="G4" i="2"/>
  <c r="F18" i="2"/>
  <c r="F17" i="2"/>
  <c r="F16" i="2"/>
  <c r="F15" i="2"/>
  <c r="F14" i="2"/>
  <c r="F13" i="2"/>
  <c r="F12" i="2"/>
  <c r="F11" i="2"/>
  <c r="F10" i="2"/>
  <c r="F9" i="2"/>
  <c r="F8" i="2"/>
  <c r="F4" i="2"/>
  <c r="L18" i="2"/>
  <c r="L16" i="2"/>
  <c r="L15" i="2"/>
  <c r="L14" i="2"/>
  <c r="L13" i="2"/>
  <c r="K12" i="2"/>
  <c r="L12" i="2"/>
  <c r="L8" i="2"/>
  <c r="L9" i="2"/>
  <c r="L10" i="2"/>
  <c r="L4" i="2"/>
  <c r="K18" i="2"/>
  <c r="K17" i="2"/>
  <c r="K16" i="2"/>
  <c r="K15" i="2"/>
  <c r="K14" i="2"/>
  <c r="K13" i="2"/>
  <c r="K11" i="2"/>
  <c r="K10" i="2"/>
  <c r="K9" i="2"/>
  <c r="K8" i="2"/>
  <c r="K7" i="2"/>
  <c r="K6" i="2"/>
  <c r="K5" i="2"/>
  <c r="K4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M18" i="2"/>
  <c r="J6" i="3"/>
  <c r="J4" i="3"/>
  <c r="J3" i="3"/>
  <c r="D6" i="1"/>
  <c r="D5" i="1"/>
  <c r="D7" i="1"/>
  <c r="D8" i="1"/>
  <c r="D9" i="1" l="1"/>
</calcChain>
</file>

<file path=xl/sharedStrings.xml><?xml version="1.0" encoding="utf-8"?>
<sst xmlns="http://schemas.openxmlformats.org/spreadsheetml/2006/main" count="87" uniqueCount="55">
  <si>
    <t>Company</t>
  </si>
  <si>
    <t>Porsche Holdings SE</t>
  </si>
  <si>
    <t>Price</t>
  </si>
  <si>
    <t>*values in millions of euros</t>
  </si>
  <si>
    <t>Shares</t>
  </si>
  <si>
    <t>MC</t>
  </si>
  <si>
    <t>Cash</t>
  </si>
  <si>
    <t>Debt</t>
  </si>
  <si>
    <t>EV</t>
  </si>
  <si>
    <t>Result from Investments</t>
  </si>
  <si>
    <t>Financial Result</t>
  </si>
  <si>
    <t>Assets</t>
  </si>
  <si>
    <t>Non-Current Assets</t>
  </si>
  <si>
    <t>PPE</t>
  </si>
  <si>
    <t>Intangible Assets</t>
  </si>
  <si>
    <t>Financial Assets</t>
  </si>
  <si>
    <t>Current Assets</t>
  </si>
  <si>
    <t>Accounts Receivable from Affiliated Companies</t>
  </si>
  <si>
    <t>Other Assets</t>
  </si>
  <si>
    <t>Marketable Securities</t>
  </si>
  <si>
    <t>Cash and Cash Equivalents</t>
  </si>
  <si>
    <t>Cash Advances (Prepaid Expenses)</t>
  </si>
  <si>
    <t>Liquidability (%)</t>
  </si>
  <si>
    <t>VERY CONSERVATIVE</t>
  </si>
  <si>
    <t>Total Liabilities</t>
  </si>
  <si>
    <t>Asset Liquidation Value</t>
  </si>
  <si>
    <t>Company Liquidation Value</t>
  </si>
  <si>
    <t>Gain On Liquidation</t>
  </si>
  <si>
    <t>Market Capitalization (@39€)</t>
  </si>
  <si>
    <t>Revenue</t>
  </si>
  <si>
    <t>thereof Volkswagen AG</t>
  </si>
  <si>
    <t>thereof Porsche AG</t>
  </si>
  <si>
    <t>thereof portfolio investments</t>
  </si>
  <si>
    <t>Income from Investment Valuation</t>
  </si>
  <si>
    <t>Expenses from Investment Valuation</t>
  </si>
  <si>
    <t>Other expenses</t>
  </si>
  <si>
    <t>Earnings Before Financial Result</t>
  </si>
  <si>
    <t>Earnings before tax</t>
  </si>
  <si>
    <t>Income tax</t>
  </si>
  <si>
    <t>NET INCOME</t>
  </si>
  <si>
    <t>Other Comprehensive Income</t>
  </si>
  <si>
    <t>Total Income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</si>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</sst>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"/>
    <numFmt numFmtId="166" formatCode="_-* #,##0_-;\-* #,##0_-;_-* &quot;-&quot;??_-;_-@_-"/>
    <numFmt numFmtId="168" formatCode="_-* #,##0\ &quot;€&quot;_-;\-* #,##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7">
    <border>
      <left/>
      <right/>
      <top/>
      <bottom/>
      <diagonal/>
    </border>
    <border>
      <left/>
      <right/>
      <top style="thick">
        <color indexed="20"/>
      </top>
      <bottom/>
      <diagonal/>
    </border>
    <border>
      <left/>
      <right/>
      <top/>
      <bottom style="thick">
        <color indexed="20"/>
      </bottom>
      <diagonal/>
    </border>
    <border>
      <left/>
      <right/>
      <top style="thick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ck">
        <color indexed="20"/>
      </bottom>
      <diagonal/>
    </border>
    <border>
      <left/>
      <right/>
      <top style="thick">
        <color indexed="20"/>
      </top>
      <bottom style="thick">
        <color indexed="20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6">
    <xf numFmtId="0" fontId="0" fillId="0" borderId="0" xfId="0"/>
    <xf numFmtId="164" fontId="0" fillId="0" borderId="0" xfId="0" applyNumberFormat="1" applyFill="1" applyBorder="1" applyAlignment="1"/>
    <xf numFmtId="0" fontId="3" fillId="0" borderId="3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64" fontId="0" fillId="0" borderId="4" xfId="0" applyNumberFormat="1" applyFill="1" applyBorder="1" applyAlignment="1"/>
    <xf numFmtId="0" fontId="0" fillId="0" borderId="4" xfId="0" applyFill="1" applyBorder="1" applyAlignment="1">
      <alignment horizontal="left"/>
    </xf>
    <xf numFmtId="0" fontId="0" fillId="0" borderId="3" xfId="0" applyFill="1" applyBorder="1" applyAlignment="1">
      <alignment horizontal="right"/>
    </xf>
    <xf numFmtId="0" fontId="1" fillId="0" borderId="5" xfId="0" applyFont="1" applyFill="1" applyBorder="1" applyAlignment="1">
      <alignment horizontal="left"/>
    </xf>
    <xf numFmtId="164" fontId="0" fillId="0" borderId="5" xfId="0" applyNumberFormat="1" applyFill="1" applyBorder="1" applyAlignment="1"/>
    <xf numFmtId="166" fontId="0" fillId="0" borderId="0" xfId="1" applyNumberFormat="1" applyFont="1"/>
    <xf numFmtId="44" fontId="0" fillId="0" borderId="0" xfId="0" applyNumberFormat="1" applyFill="1" applyBorder="1" applyAlignment="1"/>
    <xf numFmtId="43" fontId="0" fillId="0" borderId="0" xfId="0" applyNumberFormat="1" applyFill="1" applyBorder="1" applyAlignment="1"/>
    <xf numFmtId="43" fontId="0" fillId="0" borderId="2" xfId="0" applyNumberFormat="1" applyFill="1" applyBorder="1" applyAlignment="1"/>
    <xf numFmtId="168" fontId="0" fillId="0" borderId="0" xfId="0" applyNumberFormat="1" applyFill="1" applyBorder="1" applyAlignment="1"/>
    <xf numFmtId="168" fontId="2" fillId="0" borderId="0" xfId="1" applyNumberFormat="1" applyFont="1" applyFill="1" applyBorder="1" applyAlignment="1"/>
    <xf numFmtId="168" fontId="2" fillId="0" borderId="2" xfId="1" applyNumberFormat="1" applyFont="1" applyFill="1" applyBorder="1" applyAlignment="1"/>
    <xf numFmtId="0" fontId="1" fillId="0" borderId="0" xfId="0" applyNumberFormat="1" applyFont="1" applyFill="1" applyBorder="1" applyAlignment="1"/>
    <xf numFmtId="0" fontId="1" fillId="0" borderId="3" xfId="0" applyFon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43" fontId="0" fillId="0" borderId="0" xfId="0" applyNumberFormat="1" applyFill="1" applyBorder="1" applyAlignment="1">
      <alignment horizontal="center"/>
    </xf>
    <xf numFmtId="9" fontId="0" fillId="0" borderId="2" xfId="0" applyNumberFormat="1" applyFill="1" applyBorder="1" applyAlignment="1">
      <alignment horizontal="center"/>
    </xf>
    <xf numFmtId="43" fontId="1" fillId="0" borderId="2" xfId="0" applyNumberFormat="1" applyFont="1" applyFill="1" applyBorder="1" applyAlignment="1"/>
    <xf numFmtId="168" fontId="2" fillId="0" borderId="6" xfId="1" applyNumberFormat="1" applyFont="1" applyFill="1" applyBorder="1" applyAlignment="1"/>
    <xf numFmtId="168" fontId="0" fillId="0" borderId="1" xfId="0" applyNumberFormat="1" applyFill="1" applyBorder="1" applyAlignment="1"/>
    <xf numFmtId="0" fontId="0" fillId="0" borderId="1" xfId="0" applyFill="1" applyBorder="1" applyAlignment="1">
      <alignment horizontal="left"/>
    </xf>
    <xf numFmtId="168" fontId="0" fillId="0" borderId="4" xfId="0" applyNumberFormat="1" applyFill="1" applyBorder="1" applyAlignment="1"/>
    <xf numFmtId="9" fontId="2" fillId="0" borderId="5" xfId="2" applyFont="1" applyFill="1" applyBorder="1" applyAlignment="1"/>
    <xf numFmtId="0" fontId="0" fillId="0" borderId="0" xfId="0" applyNumberFormat="1"/>
    <xf numFmtId="0" fontId="2" fillId="2" borderId="0" xfId="3"/>
    <xf numFmtId="166" fontId="2" fillId="2" borderId="0" xfId="3" applyNumberFormat="1"/>
    <xf numFmtId="0" fontId="1" fillId="2" borderId="0" xfId="3" applyNumberFormat="1" applyFont="1"/>
    <xf numFmtId="166" fontId="1" fillId="2" borderId="0" xfId="3" applyNumberFormat="1" applyFont="1"/>
    <xf numFmtId="0" fontId="1" fillId="2" borderId="0" xfId="3" applyFont="1"/>
    <xf numFmtId="166" fontId="0" fillId="0" borderId="0" xfId="1" applyNumberFormat="1" applyFont="1" applyAlignment="1">
      <alignment horizontal="center"/>
    </xf>
    <xf numFmtId="166" fontId="2" fillId="2" borderId="0" xfId="3" applyNumberFormat="1" applyAlignment="1">
      <alignment horizontal="center"/>
    </xf>
    <xf numFmtId="166" fontId="2" fillId="0" borderId="0" xfId="1" applyNumberFormat="1" applyFont="1" applyAlignment="1">
      <alignment horizontal="center"/>
    </xf>
  </cellXfs>
  <cellStyles count="4">
    <cellStyle name="20% - Cor1" xfId="3" builtinId="30"/>
    <cellStyle name="Normal" xfId="0" builtinId="0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E7" sqref="E7"/>
    </sheetView>
  </sheetViews>
  <sheetFormatPr defaultRowHeight="14.25" x14ac:dyDescent="0.45"/>
  <cols>
    <col min="4" max="4" width="16.46484375" bestFit="1" customWidth="1"/>
  </cols>
  <sheetData>
    <row r="1" spans="1:4" x14ac:dyDescent="0.45">
      <c r="A1" t="s">
        <v>3</v>
      </c>
    </row>
    <row r="2" spans="1:4" ht="14.65" thickBot="1" x14ac:dyDescent="0.5"/>
    <row r="3" spans="1:4" ht="16.149999999999999" thickTop="1" x14ac:dyDescent="0.5">
      <c r="C3" s="2" t="s">
        <v>0</v>
      </c>
      <c r="D3" s="6" t="s">
        <v>1</v>
      </c>
    </row>
    <row r="4" spans="1:4" x14ac:dyDescent="0.45">
      <c r="C4" s="3" t="s">
        <v>2</v>
      </c>
      <c r="D4" s="1">
        <v>39</v>
      </c>
    </row>
    <row r="5" spans="1:4" x14ac:dyDescent="0.45">
      <c r="C5" s="3" t="s">
        <v>4</v>
      </c>
      <c r="D5" s="1">
        <f>153125000*2/1000000</f>
        <v>306.25</v>
      </c>
    </row>
    <row r="6" spans="1:4" x14ac:dyDescent="0.45">
      <c r="C6" s="5" t="s">
        <v>5</v>
      </c>
      <c r="D6" s="4">
        <f>D5*D4</f>
        <v>11943.75</v>
      </c>
    </row>
    <row r="7" spans="1:4" x14ac:dyDescent="0.45">
      <c r="C7" s="5" t="s">
        <v>6</v>
      </c>
      <c r="D7" s="4">
        <f>1030+103+(61225/2)</f>
        <v>31745.5</v>
      </c>
    </row>
    <row r="8" spans="1:4" x14ac:dyDescent="0.45">
      <c r="C8" s="5" t="s">
        <v>7</v>
      </c>
      <c r="D8" s="4">
        <f>6895+137</f>
        <v>7032</v>
      </c>
    </row>
    <row r="9" spans="1:4" ht="14.65" thickBot="1" x14ac:dyDescent="0.5">
      <c r="C9" s="7" t="s">
        <v>8</v>
      </c>
      <c r="D9" s="8">
        <f>D6+D8-D7</f>
        <v>-12769.75</v>
      </c>
    </row>
    <row r="10" spans="1:4" ht="14.65" thickTop="1" x14ac:dyDescent="0.4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5C08-9AA6-4BE8-9A59-B2111F9113C2}">
  <dimension ref="C2:J20"/>
  <sheetViews>
    <sheetView workbookViewId="0">
      <selection activeCell="I9" sqref="I9"/>
    </sheetView>
  </sheetViews>
  <sheetFormatPr defaultRowHeight="14.25" x14ac:dyDescent="0.45"/>
  <cols>
    <col min="3" max="3" width="39.46484375" bestFit="1" customWidth="1"/>
    <col min="4" max="4" width="14.86328125" bestFit="1" customWidth="1"/>
    <col min="5" max="5" width="13.46484375" bestFit="1" customWidth="1"/>
    <col min="9" max="9" width="24.265625" bestFit="1" customWidth="1"/>
    <col min="10" max="10" width="12.33203125" bestFit="1" customWidth="1"/>
  </cols>
  <sheetData>
    <row r="2" spans="3:10" ht="14.65" thickBot="1" x14ac:dyDescent="0.5"/>
    <row r="3" spans="3:10" ht="14.65" thickTop="1" x14ac:dyDescent="0.45">
      <c r="C3" s="17" t="s">
        <v>11</v>
      </c>
      <c r="D3" s="17"/>
      <c r="E3" s="6" t="s">
        <v>22</v>
      </c>
      <c r="I3" s="24" t="s">
        <v>25</v>
      </c>
      <c r="J3" s="23">
        <f>D7*0.8+D9*0.9+D10*0.95+D11+D13+D12</f>
        <v>27830584.800000001</v>
      </c>
    </row>
    <row r="4" spans="3:10" x14ac:dyDescent="0.45">
      <c r="C4" s="16" t="s">
        <v>12</v>
      </c>
      <c r="D4" s="13"/>
      <c r="E4" s="10"/>
      <c r="I4" s="5" t="s">
        <v>26</v>
      </c>
      <c r="J4" s="25">
        <f>J3-D15</f>
        <v>20759822.800000001</v>
      </c>
    </row>
    <row r="5" spans="3:10" x14ac:dyDescent="0.45">
      <c r="C5" s="11" t="s">
        <v>13</v>
      </c>
      <c r="D5" s="14">
        <v>96</v>
      </c>
      <c r="E5" s="18">
        <v>0</v>
      </c>
      <c r="I5" s="5" t="s">
        <v>28</v>
      </c>
      <c r="J5" s="25">
        <v>11944000</v>
      </c>
    </row>
    <row r="6" spans="3:10" ht="14.65" thickBot="1" x14ac:dyDescent="0.5">
      <c r="C6" s="11" t="s">
        <v>14</v>
      </c>
      <c r="D6" s="14">
        <v>13</v>
      </c>
      <c r="E6" s="18">
        <v>0</v>
      </c>
      <c r="I6" s="7" t="s">
        <v>27</v>
      </c>
      <c r="J6" s="26">
        <f>(J4-J5)/J5</f>
        <v>0.7380963496316143</v>
      </c>
    </row>
    <row r="7" spans="3:10" ht="14.65" thickTop="1" x14ac:dyDescent="0.45">
      <c r="C7" s="11" t="s">
        <v>15</v>
      </c>
      <c r="D7" s="14">
        <v>33487708</v>
      </c>
      <c r="E7" s="18">
        <v>0.8</v>
      </c>
      <c r="F7" t="s">
        <v>23</v>
      </c>
    </row>
    <row r="8" spans="3:10" x14ac:dyDescent="0.45">
      <c r="C8" s="16" t="s">
        <v>16</v>
      </c>
      <c r="D8" s="14"/>
      <c r="E8" s="19"/>
    </row>
    <row r="9" spans="3:10" x14ac:dyDescent="0.45">
      <c r="C9" s="11" t="s">
        <v>17</v>
      </c>
      <c r="D9" s="14">
        <v>6366</v>
      </c>
      <c r="E9" s="18">
        <v>0.9</v>
      </c>
    </row>
    <row r="10" spans="3:10" x14ac:dyDescent="0.45">
      <c r="C10" s="11" t="s">
        <v>18</v>
      </c>
      <c r="D10" s="14">
        <v>19360</v>
      </c>
      <c r="E10" s="18">
        <v>0.95</v>
      </c>
    </row>
    <row r="11" spans="3:10" x14ac:dyDescent="0.45">
      <c r="C11" s="11" t="s">
        <v>19</v>
      </c>
      <c r="D11" s="14">
        <v>283406</v>
      </c>
      <c r="E11" s="18">
        <v>1</v>
      </c>
    </row>
    <row r="12" spans="3:10" x14ac:dyDescent="0.45">
      <c r="C12" s="11" t="s">
        <v>20</v>
      </c>
      <c r="D12" s="14">
        <v>723595</v>
      </c>
      <c r="E12" s="18">
        <v>1</v>
      </c>
    </row>
    <row r="13" spans="3:10" ht="14.65" thickBot="1" x14ac:dyDescent="0.5">
      <c r="C13" s="12" t="s">
        <v>21</v>
      </c>
      <c r="D13" s="15">
        <v>9296</v>
      </c>
      <c r="E13" s="20">
        <v>1</v>
      </c>
    </row>
    <row r="14" spans="3:10" ht="15" thickTop="1" thickBot="1" x14ac:dyDescent="0.5">
      <c r="C14" s="12"/>
      <c r="D14" s="12"/>
    </row>
    <row r="15" spans="3:10" ht="15" thickTop="1" thickBot="1" x14ac:dyDescent="0.5">
      <c r="C15" s="21" t="s">
        <v>24</v>
      </c>
      <c r="D15" s="22">
        <v>7070762</v>
      </c>
    </row>
    <row r="16" spans="3:10" ht="14.65" thickTop="1" x14ac:dyDescent="0.45"/>
    <row r="17" spans="4:4" x14ac:dyDescent="0.45">
      <c r="D17" s="9"/>
    </row>
    <row r="18" spans="4:4" x14ac:dyDescent="0.45">
      <c r="D18" s="9"/>
    </row>
    <row r="19" spans="4:4" x14ac:dyDescent="0.45">
      <c r="D19" s="9"/>
    </row>
    <row r="20" spans="4:4" x14ac:dyDescent="0.45">
      <c r="D20" s="9"/>
    </row>
  </sheetData>
  <mergeCells count="1"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4AC1-9A55-47A4-8A9B-17BFE910E9E0}">
  <dimension ref="D3:P20"/>
  <sheetViews>
    <sheetView tabSelected="1" workbookViewId="0">
      <selection activeCell="H20" sqref="H20"/>
    </sheetView>
  </sheetViews>
  <sheetFormatPr defaultRowHeight="14.25" x14ac:dyDescent="0.45"/>
  <cols>
    <col min="4" max="4" width="29.73046875" bestFit="1" customWidth="1"/>
    <col min="12" max="12" width="8.796875" customWidth="1"/>
  </cols>
  <sheetData>
    <row r="3" spans="4:16" x14ac:dyDescent="0.45"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</row>
    <row r="4" spans="4:16" x14ac:dyDescent="0.45">
      <c r="D4" s="30" t="s">
        <v>29</v>
      </c>
      <c r="E4" s="31">
        <v>2041</v>
      </c>
      <c r="F4" s="31">
        <f>3132-E4</f>
        <v>1091</v>
      </c>
      <c r="G4" s="31">
        <f>3728-F4-E4</f>
        <v>596</v>
      </c>
      <c r="H4" s="31">
        <f>H16-9</f>
        <v>217</v>
      </c>
      <c r="I4" s="31">
        <v>1357</v>
      </c>
      <c r="J4" s="31">
        <f>2473-I4</f>
        <v>1116</v>
      </c>
      <c r="K4" s="31">
        <f>3828-J4-I4</f>
        <v>1355</v>
      </c>
      <c r="L4" s="31">
        <f>5229-K4-J4-I4</f>
        <v>1401</v>
      </c>
      <c r="M4" s="31">
        <v>1127</v>
      </c>
      <c r="N4" s="31">
        <f>2271-M4</f>
        <v>1144</v>
      </c>
      <c r="O4" s="31"/>
      <c r="P4" s="31"/>
    </row>
    <row r="5" spans="4:16" x14ac:dyDescent="0.45">
      <c r="D5" s="27" t="s">
        <v>30</v>
      </c>
      <c r="E5" s="33" t="s">
        <v>54</v>
      </c>
      <c r="F5" s="33" t="s">
        <v>54</v>
      </c>
      <c r="G5" s="33" t="s">
        <v>54</v>
      </c>
      <c r="H5" s="33" t="s">
        <v>54</v>
      </c>
      <c r="I5" s="9">
        <v>1336</v>
      </c>
      <c r="J5" s="9">
        <f>2365-I5</f>
        <v>1029</v>
      </c>
      <c r="K5" s="9">
        <f>3599-J5-I5</f>
        <v>1234</v>
      </c>
      <c r="L5" s="33" t="s">
        <v>54</v>
      </c>
      <c r="M5" s="9">
        <v>1011</v>
      </c>
      <c r="N5" s="9">
        <f>1991-M5</f>
        <v>980</v>
      </c>
      <c r="O5" s="9"/>
      <c r="P5" s="9"/>
    </row>
    <row r="6" spans="4:16" x14ac:dyDescent="0.45">
      <c r="D6" s="28" t="s">
        <v>31</v>
      </c>
      <c r="E6" s="34" t="s">
        <v>54</v>
      </c>
      <c r="F6" s="34" t="s">
        <v>54</v>
      </c>
      <c r="G6" s="34" t="s">
        <v>54</v>
      </c>
      <c r="H6" s="34" t="s">
        <v>54</v>
      </c>
      <c r="I6" s="29">
        <v>24</v>
      </c>
      <c r="J6" s="29">
        <f>112-I6</f>
        <v>88</v>
      </c>
      <c r="K6" s="29">
        <f>236-J6-I6</f>
        <v>124</v>
      </c>
      <c r="L6" s="34" t="s">
        <v>54</v>
      </c>
      <c r="M6" s="29">
        <v>121</v>
      </c>
      <c r="N6" s="29">
        <f>278-M6</f>
        <v>157</v>
      </c>
      <c r="O6" s="29"/>
      <c r="P6" s="29"/>
    </row>
    <row r="7" spans="4:16" x14ac:dyDescent="0.45">
      <c r="D7" t="s">
        <v>32</v>
      </c>
      <c r="E7" s="33" t="s">
        <v>54</v>
      </c>
      <c r="F7" s="33" t="s">
        <v>54</v>
      </c>
      <c r="G7" s="33" t="s">
        <v>54</v>
      </c>
      <c r="H7" s="33" t="s">
        <v>54</v>
      </c>
      <c r="I7" s="9">
        <v>-3</v>
      </c>
      <c r="J7" s="9">
        <f>-4-I7</f>
        <v>-1</v>
      </c>
      <c r="K7" s="9">
        <f>-7--1--3</f>
        <v>-3</v>
      </c>
      <c r="L7" s="33" t="s">
        <v>54</v>
      </c>
      <c r="M7" s="9">
        <v>-5</v>
      </c>
      <c r="N7" s="9">
        <f>2-M7</f>
        <v>7</v>
      </c>
      <c r="O7" s="9"/>
      <c r="P7" s="9"/>
    </row>
    <row r="8" spans="4:16" x14ac:dyDescent="0.45">
      <c r="D8" s="28" t="s">
        <v>33</v>
      </c>
      <c r="E8" s="34">
        <v>3</v>
      </c>
      <c r="F8" s="29">
        <f>12-E8</f>
        <v>9</v>
      </c>
      <c r="G8" s="34" t="s">
        <v>54</v>
      </c>
      <c r="H8" s="34" t="s">
        <v>54</v>
      </c>
      <c r="I8" s="29">
        <v>1</v>
      </c>
      <c r="J8" s="29">
        <f>1-I8</f>
        <v>0</v>
      </c>
      <c r="K8" s="29">
        <f>1-1</f>
        <v>0</v>
      </c>
      <c r="L8" s="29">
        <f>1-I8</f>
        <v>0</v>
      </c>
      <c r="M8" s="29">
        <v>8</v>
      </c>
      <c r="N8" s="29">
        <f>9-M8</f>
        <v>1</v>
      </c>
      <c r="O8" s="29"/>
      <c r="P8" s="29"/>
    </row>
    <row r="9" spans="4:16" x14ac:dyDescent="0.45">
      <c r="D9" t="s">
        <v>34</v>
      </c>
      <c r="E9" s="33">
        <v>-4</v>
      </c>
      <c r="F9" s="9">
        <f>-9-E9</f>
        <v>-5</v>
      </c>
      <c r="G9" s="33" t="s">
        <v>54</v>
      </c>
      <c r="H9" s="33" t="s">
        <v>54</v>
      </c>
      <c r="I9" s="9">
        <v>-1</v>
      </c>
      <c r="J9" s="9">
        <f>0-I9</f>
        <v>1</v>
      </c>
      <c r="K9" s="9">
        <f>-7-1--1</f>
        <v>-7</v>
      </c>
      <c r="L9" s="9">
        <f>-1-K9-J9-I9</f>
        <v>6</v>
      </c>
      <c r="M9" s="9">
        <v>0</v>
      </c>
      <c r="N9" s="9">
        <f>-8-M9</f>
        <v>-8</v>
      </c>
      <c r="O9" s="9"/>
      <c r="P9" s="9"/>
    </row>
    <row r="10" spans="4:16" x14ac:dyDescent="0.45">
      <c r="D10" s="32" t="s">
        <v>9</v>
      </c>
      <c r="E10" s="31">
        <v>2041</v>
      </c>
      <c r="F10" s="31">
        <f>3135-E10</f>
        <v>1094</v>
      </c>
      <c r="G10" s="34" t="s">
        <v>54</v>
      </c>
      <c r="H10" s="34" t="s">
        <v>54</v>
      </c>
      <c r="I10" s="31">
        <v>1357</v>
      </c>
      <c r="J10" s="31">
        <f>2474-I10</f>
        <v>1117</v>
      </c>
      <c r="K10" s="31">
        <f>3823-I10-J10</f>
        <v>1349</v>
      </c>
      <c r="L10" s="31">
        <f>5229-K10-J10-I10</f>
        <v>1406</v>
      </c>
      <c r="M10" s="31">
        <v>1136</v>
      </c>
      <c r="N10" s="31">
        <f>2272-M10</f>
        <v>1136</v>
      </c>
      <c r="O10" s="31"/>
      <c r="P10" s="31"/>
    </row>
    <row r="11" spans="4:16" x14ac:dyDescent="0.45">
      <c r="D11" t="s">
        <v>35</v>
      </c>
      <c r="E11" s="9">
        <v>-8</v>
      </c>
      <c r="F11" s="9">
        <f>-20-E11</f>
        <v>-12</v>
      </c>
      <c r="G11" s="33" t="s">
        <v>54</v>
      </c>
      <c r="H11" s="33" t="s">
        <v>54</v>
      </c>
      <c r="I11" s="9">
        <v>-7</v>
      </c>
      <c r="J11" s="9">
        <f>-16-I11</f>
        <v>-9</v>
      </c>
      <c r="K11" s="9">
        <f>220-13-14--9--7</f>
        <v>209</v>
      </c>
      <c r="L11" s="9"/>
      <c r="M11" s="9">
        <v>-8</v>
      </c>
      <c r="N11" s="9">
        <f>-16-M11</f>
        <v>-8</v>
      </c>
      <c r="O11" s="9"/>
      <c r="P11" s="9"/>
    </row>
    <row r="12" spans="4:16" x14ac:dyDescent="0.45">
      <c r="D12" s="28" t="s">
        <v>36</v>
      </c>
      <c r="E12" s="29">
        <v>2031</v>
      </c>
      <c r="F12" s="29">
        <f>3116-E12</f>
        <v>1085</v>
      </c>
      <c r="G12" s="34" t="s">
        <v>54</v>
      </c>
      <c r="H12" s="34" t="s">
        <v>54</v>
      </c>
      <c r="I12" s="29">
        <v>1351</v>
      </c>
      <c r="J12" s="29">
        <f>2458-I12</f>
        <v>1107</v>
      </c>
      <c r="K12" s="29">
        <f>K10+K11-1</f>
        <v>1557</v>
      </c>
      <c r="L12" s="29">
        <f>5412-K12-J12-I12</f>
        <v>1397</v>
      </c>
      <c r="M12" s="29">
        <v>1128</v>
      </c>
      <c r="N12" s="29">
        <f>2255-M12</f>
        <v>1127</v>
      </c>
      <c r="O12" s="29"/>
      <c r="P12" s="29"/>
    </row>
    <row r="13" spans="4:16" x14ac:dyDescent="0.45">
      <c r="D13" t="s">
        <v>10</v>
      </c>
      <c r="E13" s="9">
        <v>-1</v>
      </c>
      <c r="F13" s="9">
        <f>-2-E13</f>
        <v>-1</v>
      </c>
      <c r="G13" s="33" t="s">
        <v>54</v>
      </c>
      <c r="H13" s="33" t="s">
        <v>54</v>
      </c>
      <c r="I13" s="9">
        <v>-70</v>
      </c>
      <c r="J13" s="9">
        <f>-143-I13</f>
        <v>-73</v>
      </c>
      <c r="K13" s="9">
        <f>-207+73+70</f>
        <v>-64</v>
      </c>
      <c r="L13" s="9">
        <f>-269-K13-J13-I13</f>
        <v>-62</v>
      </c>
      <c r="M13" s="9">
        <v>-62</v>
      </c>
      <c r="N13" s="9">
        <f>-124-M13</f>
        <v>-62</v>
      </c>
      <c r="O13" s="9"/>
      <c r="P13" s="9"/>
    </row>
    <row r="14" spans="4:16" x14ac:dyDescent="0.45">
      <c r="D14" s="28" t="s">
        <v>37</v>
      </c>
      <c r="E14" s="29">
        <v>2030</v>
      </c>
      <c r="F14" s="29">
        <f>3114-E14</f>
        <v>1084</v>
      </c>
      <c r="G14" s="34" t="s">
        <v>54</v>
      </c>
      <c r="H14" s="34" t="s">
        <v>54</v>
      </c>
      <c r="I14" s="29">
        <v>1281</v>
      </c>
      <c r="J14" s="29">
        <f>2314-I14</f>
        <v>1033</v>
      </c>
      <c r="K14" s="29">
        <f>3808-J14-I14</f>
        <v>1494</v>
      </c>
      <c r="L14" s="29">
        <f>5143-J14-K14-I14</f>
        <v>1335</v>
      </c>
      <c r="M14" s="29">
        <v>1066</v>
      </c>
      <c r="N14" s="29">
        <f>2131-M14</f>
        <v>1065</v>
      </c>
      <c r="O14" s="29"/>
      <c r="P14" s="29"/>
    </row>
    <row r="15" spans="4:16" x14ac:dyDescent="0.45">
      <c r="D15" t="s">
        <v>38</v>
      </c>
      <c r="E15" s="9">
        <v>4</v>
      </c>
      <c r="F15" s="9">
        <f>29-E15</f>
        <v>25</v>
      </c>
      <c r="G15" s="33" t="s">
        <v>54</v>
      </c>
      <c r="H15" s="33" t="s">
        <v>54</v>
      </c>
      <c r="I15" s="9">
        <v>-15</v>
      </c>
      <c r="J15" s="9">
        <f>-6-I15</f>
        <v>9</v>
      </c>
      <c r="K15" s="9">
        <f>-7-9+15</f>
        <v>-1</v>
      </c>
      <c r="L15" s="9">
        <f>-48-K15-J15-I15</f>
        <v>-41</v>
      </c>
      <c r="M15" s="9">
        <v>2</v>
      </c>
      <c r="N15" s="9">
        <f>1-M15</f>
        <v>-1</v>
      </c>
      <c r="O15" s="9"/>
      <c r="P15" s="9"/>
    </row>
    <row r="16" spans="4:16" x14ac:dyDescent="0.45">
      <c r="D16" s="32" t="s">
        <v>39</v>
      </c>
      <c r="E16" s="31">
        <v>2034</v>
      </c>
      <c r="F16" s="31">
        <f>3413-E16</f>
        <v>1379</v>
      </c>
      <c r="G16" s="31">
        <f>4029-F16-E16</f>
        <v>616</v>
      </c>
      <c r="H16" s="31">
        <f>4255-G16-F16-E16</f>
        <v>226</v>
      </c>
      <c r="I16" s="31">
        <v>1265</v>
      </c>
      <c r="J16" s="31">
        <f>2308-I16</f>
        <v>1043</v>
      </c>
      <c r="K16" s="31">
        <f>3801-J16-I16</f>
        <v>1493</v>
      </c>
      <c r="L16" s="31">
        <f>5096-J16-K16-I16</f>
        <v>1295</v>
      </c>
      <c r="M16" s="31">
        <v>1068</v>
      </c>
      <c r="N16" s="31">
        <f>2132-M16</f>
        <v>1064</v>
      </c>
      <c r="O16" s="31"/>
      <c r="P16" s="31"/>
    </row>
    <row r="17" spans="4:16" x14ac:dyDescent="0.45">
      <c r="D17" t="s">
        <v>40</v>
      </c>
      <c r="E17" s="9">
        <v>96</v>
      </c>
      <c r="F17" s="9">
        <f>96-E17</f>
        <v>0</v>
      </c>
      <c r="G17" s="35" t="s">
        <v>54</v>
      </c>
      <c r="H17" s="9"/>
      <c r="I17" s="9">
        <v>-269</v>
      </c>
      <c r="J17" s="9">
        <f>-513-I17</f>
        <v>-244</v>
      </c>
      <c r="K17" s="9">
        <f>339+224+269</f>
        <v>832</v>
      </c>
      <c r="L17" s="9" t="s">
        <v>54</v>
      </c>
      <c r="M17" s="9">
        <v>371</v>
      </c>
      <c r="N17" s="9">
        <f>641-M17</f>
        <v>270</v>
      </c>
      <c r="O17" s="9"/>
      <c r="P17" s="9"/>
    </row>
    <row r="18" spans="4:16" x14ac:dyDescent="0.45">
      <c r="D18" s="32" t="s">
        <v>41</v>
      </c>
      <c r="E18" s="31">
        <v>2130</v>
      </c>
      <c r="F18" s="31">
        <f>3239-E18</f>
        <v>1109</v>
      </c>
      <c r="G18" s="31">
        <v>616</v>
      </c>
      <c r="H18" s="31">
        <v>226</v>
      </c>
      <c r="I18" s="31">
        <v>997</v>
      </c>
      <c r="J18" s="31">
        <f>1795-I18</f>
        <v>798</v>
      </c>
      <c r="K18" s="31">
        <f>K16+K17</f>
        <v>2325</v>
      </c>
      <c r="L18" s="31">
        <f>L16</f>
        <v>1295</v>
      </c>
      <c r="M18" s="31">
        <f>M16+M17</f>
        <v>1439</v>
      </c>
      <c r="N18" s="31">
        <f>2773-M18</f>
        <v>1334</v>
      </c>
      <c r="O18" s="31"/>
      <c r="P18" s="31"/>
    </row>
    <row r="19" spans="4:16" x14ac:dyDescent="0.45">
      <c r="E19" s="9"/>
      <c r="F19" s="9"/>
      <c r="G19" s="9"/>
      <c r="H19" s="9"/>
      <c r="I19" s="9"/>
      <c r="J19" s="9"/>
      <c r="K19" s="9"/>
      <c r="L19" s="9"/>
    </row>
    <row r="20" spans="4:16" x14ac:dyDescent="0.45">
      <c r="E20" s="9"/>
      <c r="F20" s="9"/>
      <c r="G20" s="9"/>
      <c r="H20" s="9"/>
      <c r="I20" s="9"/>
      <c r="J20" s="9"/>
      <c r="K20" s="9"/>
      <c r="L2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PAH3</vt:lpstr>
      <vt:lpstr>Balance Sheet</vt:lpstr>
      <vt:lpstr>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2024-11-01T22:44:24Z</dcterms:modified>
</cp:coreProperties>
</file>