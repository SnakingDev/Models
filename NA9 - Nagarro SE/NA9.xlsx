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NA9 - Nagarro SE/"/>
    </mc:Choice>
  </mc:AlternateContent>
  <xr:revisionPtr revIDLastSave="529" documentId="11_AD4DF034E34935FBC521DCE2FF5B45405ADEDD89" xr6:coauthVersionLast="47" xr6:coauthVersionMax="47" xr10:uidLastSave="{0FC02F0D-8A33-48FB-99B2-916DF96E0B85}"/>
  <bookViews>
    <workbookView xWindow="-98" yWindow="-98" windowWidth="20715" windowHeight="13155" activeTab="2" xr2:uid="{00000000-000D-0000-FFFF-FFFF00000000}"/>
  </bookViews>
  <sheets>
    <sheet name="NA9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" l="1"/>
  <c r="K23" i="3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J23" i="3"/>
  <c r="I23" i="3"/>
  <c r="H24" i="3"/>
  <c r="G24" i="3"/>
  <c r="F24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E18" i="3"/>
  <c r="E17" i="3"/>
  <c r="E16" i="3"/>
  <c r="E15" i="3"/>
  <c r="E13" i="3"/>
  <c r="E12" i="3"/>
  <c r="E11" i="3"/>
  <c r="E10" i="3"/>
  <c r="E9" i="3"/>
  <c r="E8" i="3"/>
  <c r="E7" i="3"/>
  <c r="E6" i="3"/>
  <c r="E5" i="3"/>
  <c r="E4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8" i="3"/>
  <c r="F18" i="3"/>
  <c r="J18" i="3"/>
  <c r="H18" i="3"/>
  <c r="H16" i="3"/>
  <c r="H14" i="3"/>
  <c r="K5" i="2"/>
  <c r="K3" i="2"/>
  <c r="K2" i="2"/>
  <c r="E8" i="1"/>
  <c r="E5" i="1"/>
  <c r="E14" i="3" l="1"/>
  <c r="I18" i="3"/>
</calcChain>
</file>

<file path=xl/sharedStrings.xml><?xml version="1.0" encoding="utf-8"?>
<sst xmlns="http://schemas.openxmlformats.org/spreadsheetml/2006/main" count="64" uniqueCount="61">
  <si>
    <t>Ticker</t>
  </si>
  <si>
    <t>$NA9</t>
  </si>
  <si>
    <t>Price</t>
  </si>
  <si>
    <t>S/o</t>
  </si>
  <si>
    <t>MC</t>
  </si>
  <si>
    <t>Cash</t>
  </si>
  <si>
    <t>Debt</t>
  </si>
  <si>
    <t>EV</t>
  </si>
  <si>
    <t>*figures in €</t>
  </si>
  <si>
    <t>Assets</t>
  </si>
  <si>
    <t>Non-Current Assets</t>
  </si>
  <si>
    <t>PPE</t>
  </si>
  <si>
    <t>Goodwill</t>
  </si>
  <si>
    <t>Intangible Assets</t>
  </si>
  <si>
    <t>Right of Use Assets</t>
  </si>
  <si>
    <t>Other non-current financial assets</t>
  </si>
  <si>
    <t>Other non-current assets</t>
  </si>
  <si>
    <t>Deferred tax assets</t>
  </si>
  <si>
    <t>March 31, 2024</t>
  </si>
  <si>
    <t>Current Assets</t>
  </si>
  <si>
    <t>Inventories</t>
  </si>
  <si>
    <t>Contract Assets</t>
  </si>
  <si>
    <t>Trade Receivables</t>
  </si>
  <si>
    <t>Other current financial assets</t>
  </si>
  <si>
    <t>Other current assets</t>
  </si>
  <si>
    <t>Income tax receivables</t>
  </si>
  <si>
    <t>Liquidability (%)</t>
  </si>
  <si>
    <t>Total Liabilities</t>
  </si>
  <si>
    <t>Asset Liquidation Value</t>
  </si>
  <si>
    <t>Company Liquidation Value</t>
  </si>
  <si>
    <t>Market Capitalization</t>
  </si>
  <si>
    <t>Final Value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</si>
  <si>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</si>
  <si>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</si>
  <si>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</si>
  <si>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</si>
  <si>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</si>
  <si>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</si>
  <si>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</si>
  <si>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</si>
  <si>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</si>
  <si>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</si>
  <si>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</si>
  <si>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</si>
  <si>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</si>
  <si>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Staff Costs</t>
  </si>
  <si>
    <t>Other Operating Expenses</t>
  </si>
  <si>
    <t>Depreciation, amortization and impairment</t>
  </si>
  <si>
    <t>EBIT</t>
  </si>
  <si>
    <t>Finance Costs</t>
  </si>
  <si>
    <t>Finance Income</t>
  </si>
  <si>
    <t>EBT</t>
  </si>
  <si>
    <t>Income Taxes</t>
  </si>
  <si>
    <t>Net Income</t>
  </si>
  <si>
    <t>Impairment of trade receivables and contract assets</t>
  </si>
  <si>
    <t>Other operating income</t>
  </si>
  <si>
    <t>Total comprehensive income</t>
  </si>
  <si>
    <t>Other comprehensive income</t>
  </si>
  <si>
    <t>Cost of freelancers, material &amp; other direct cost</t>
  </si>
  <si>
    <t>Discounted Cash Flow</t>
  </si>
  <si>
    <t>Market values company @10% YOY growth &amp; 10,8% 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</si>
</sst>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5" formatCode="_-* #,##0_-;\-* #,##0_-;_-* &quot;-&quot;??_-;_-@_-"/>
    <numFmt numFmtId="168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/>
      <right/>
      <top style="thick">
        <color indexed="20"/>
      </top>
      <bottom/>
      <diagonal/>
    </border>
    <border>
      <left/>
      <right/>
      <top/>
      <bottom style="thick">
        <color indexed="20"/>
      </bottom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  <border>
      <left/>
      <right/>
      <top style="thick">
        <color indexed="20"/>
      </top>
      <bottom style="thick">
        <color indexed="2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1">
    <xf numFmtId="0" fontId="0" fillId="0" borderId="0" xfId="0"/>
    <xf numFmtId="165" fontId="0" fillId="0" borderId="0" xfId="1" applyNumberFormat="1" applyFont="1"/>
    <xf numFmtId="165" fontId="1" fillId="0" borderId="0" xfId="1" applyNumberFormat="1" applyFont="1" applyFill="1" applyBorder="1" applyAlignment="1"/>
    <xf numFmtId="0" fontId="3" fillId="0" borderId="3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5" fontId="1" fillId="0" borderId="4" xfId="1" applyNumberFormat="1" applyFont="1" applyFill="1" applyBorder="1" applyAlignment="1"/>
    <xf numFmtId="0" fontId="0" fillId="0" borderId="4" xfId="0" applyFill="1" applyBorder="1" applyAlignment="1">
      <alignment horizontal="left"/>
    </xf>
    <xf numFmtId="0" fontId="0" fillId="0" borderId="3" xfId="0" applyFill="1" applyBorder="1" applyAlignment="1">
      <alignment horizontal="right"/>
    </xf>
    <xf numFmtId="0" fontId="2" fillId="0" borderId="5" xfId="0" applyFont="1" applyFill="1" applyBorder="1" applyAlignment="1">
      <alignment horizontal="left"/>
    </xf>
    <xf numFmtId="165" fontId="1" fillId="0" borderId="5" xfId="1" applyNumberFormat="1" applyFont="1" applyFill="1" applyBorder="1" applyAlignment="1"/>
    <xf numFmtId="0" fontId="2" fillId="0" borderId="0" xfId="0" applyFont="1"/>
    <xf numFmtId="0" fontId="0" fillId="0" borderId="6" xfId="0" applyFill="1" applyBorder="1" applyAlignment="1">
      <alignment horizontal="right"/>
    </xf>
    <xf numFmtId="165" fontId="1" fillId="0" borderId="6" xfId="1" applyNumberFormat="1" applyFont="1" applyFill="1" applyBorder="1" applyAlignment="1">
      <alignment horizontal="right"/>
    </xf>
    <xf numFmtId="9" fontId="0" fillId="0" borderId="0" xfId="0" applyNumberFormat="1" applyFill="1" applyBorder="1" applyAlignment="1"/>
    <xf numFmtId="44" fontId="0" fillId="0" borderId="0" xfId="0" applyNumberFormat="1" applyFill="1" applyBorder="1" applyAlignment="1"/>
    <xf numFmtId="43" fontId="0" fillId="0" borderId="0" xfId="0" applyNumberFormat="1" applyFill="1" applyBorder="1" applyAlignment="1"/>
    <xf numFmtId="43" fontId="1" fillId="0" borderId="0" xfId="1" applyNumberFormat="1" applyFont="1" applyFill="1" applyBorder="1" applyAlignment="1"/>
    <xf numFmtId="43" fontId="0" fillId="0" borderId="2" xfId="0" applyNumberFormat="1" applyFill="1" applyBorder="1" applyAlignment="1"/>
    <xf numFmtId="43" fontId="1" fillId="0" borderId="2" xfId="1" applyNumberFormat="1" applyFont="1" applyFill="1" applyBorder="1" applyAlignment="1"/>
    <xf numFmtId="0" fontId="0" fillId="0" borderId="3" xfId="0" applyFill="1" applyBorder="1" applyAlignment="1">
      <alignment horizontal="right"/>
    </xf>
    <xf numFmtId="168" fontId="0" fillId="0" borderId="1" xfId="0" applyNumberFormat="1" applyFill="1" applyBorder="1" applyAlignment="1"/>
    <xf numFmtId="0" fontId="0" fillId="0" borderId="1" xfId="0" applyFill="1" applyBorder="1" applyAlignment="1">
      <alignment horizontal="left"/>
    </xf>
    <xf numFmtId="168" fontId="0" fillId="0" borderId="4" xfId="0" applyNumberFormat="1" applyFill="1" applyBorder="1" applyAlignment="1"/>
    <xf numFmtId="168" fontId="0" fillId="0" borderId="4" xfId="0" applyNumberFormat="1" applyFill="1" applyBorder="1" applyAlignment="1">
      <alignment horizontal="left"/>
    </xf>
    <xf numFmtId="165" fontId="0" fillId="0" borderId="0" xfId="0" applyNumberFormat="1"/>
    <xf numFmtId="0" fontId="1" fillId="2" borderId="0" xfId="3"/>
    <xf numFmtId="165" fontId="1" fillId="2" borderId="0" xfId="3" applyNumberFormat="1"/>
    <xf numFmtId="165" fontId="1" fillId="2" borderId="0" xfId="1" applyNumberFormat="1" applyFill="1"/>
    <xf numFmtId="10" fontId="0" fillId="0" borderId="0" xfId="2" applyNumberFormat="1" applyFont="1"/>
    <xf numFmtId="10" fontId="0" fillId="0" borderId="0" xfId="0" applyNumberFormat="1"/>
    <xf numFmtId="8" fontId="2" fillId="0" borderId="0" xfId="0" applyNumberFormat="1" applyFont="1"/>
  </cellXfs>
  <cellStyles count="4">
    <cellStyle name="20% - Cor1" xfId="3" builtinId="30"/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10" sqref="E10"/>
    </sheetView>
  </sheetViews>
  <sheetFormatPr defaultRowHeight="14.25" x14ac:dyDescent="0.45"/>
  <cols>
    <col min="4" max="4" width="6" bestFit="1" customWidth="1"/>
    <col min="5" max="5" width="13.3984375" bestFit="1" customWidth="1"/>
  </cols>
  <sheetData>
    <row r="1" spans="1:5" ht="14.65" thickBot="1" x14ac:dyDescent="0.5">
      <c r="A1" t="s">
        <v>8</v>
      </c>
    </row>
    <row r="2" spans="1:5" ht="16.149999999999999" thickTop="1" x14ac:dyDescent="0.5">
      <c r="D2" s="3" t="s">
        <v>0</v>
      </c>
      <c r="E2" s="7" t="s">
        <v>1</v>
      </c>
    </row>
    <row r="3" spans="1:5" x14ac:dyDescent="0.45">
      <c r="D3" s="4" t="s">
        <v>2</v>
      </c>
      <c r="E3" s="2">
        <v>89</v>
      </c>
    </row>
    <row r="4" spans="1:5" x14ac:dyDescent="0.45">
      <c r="D4" s="4" t="s">
        <v>3</v>
      </c>
      <c r="E4" s="2">
        <v>13320000</v>
      </c>
    </row>
    <row r="5" spans="1:5" x14ac:dyDescent="0.45">
      <c r="D5" s="6" t="s">
        <v>4</v>
      </c>
      <c r="E5" s="5">
        <f>E4*E3</f>
        <v>1185480000</v>
      </c>
    </row>
    <row r="6" spans="1:5" x14ac:dyDescent="0.45">
      <c r="D6" s="6" t="s">
        <v>5</v>
      </c>
      <c r="E6" s="5">
        <v>126473000</v>
      </c>
    </row>
    <row r="7" spans="1:5" x14ac:dyDescent="0.45">
      <c r="D7" s="6" t="s">
        <v>6</v>
      </c>
      <c r="E7" s="5">
        <v>495703000</v>
      </c>
    </row>
    <row r="8" spans="1:5" ht="14.65" thickBot="1" x14ac:dyDescent="0.5">
      <c r="D8" s="8" t="s">
        <v>7</v>
      </c>
      <c r="E8" s="9">
        <f>E5-E6+E7</f>
        <v>1554710000</v>
      </c>
    </row>
    <row r="9" spans="1:5" ht="14.65" thickTop="1" x14ac:dyDescent="0.45">
      <c r="E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7549-81B5-44BC-9A31-407577D9B5D4}">
  <dimension ref="A1:K21"/>
  <sheetViews>
    <sheetView workbookViewId="0">
      <selection activeCell="J8" sqref="J8"/>
    </sheetView>
  </sheetViews>
  <sheetFormatPr defaultRowHeight="14.25" x14ac:dyDescent="0.45"/>
  <cols>
    <col min="5" max="5" width="28.86328125" bestFit="1" customWidth="1"/>
    <col min="6" max="6" width="10.86328125" bestFit="1" customWidth="1"/>
    <col min="7" max="7" width="13.46484375" bestFit="1" customWidth="1"/>
    <col min="10" max="10" width="22.3984375" bestFit="1" customWidth="1"/>
    <col min="11" max="11" width="11.33203125" bestFit="1" customWidth="1"/>
  </cols>
  <sheetData>
    <row r="1" spans="1:11" ht="14.65" thickBot="1" x14ac:dyDescent="0.5">
      <c r="A1" t="s">
        <v>18</v>
      </c>
    </row>
    <row r="2" spans="1:11" ht="14.65" thickTop="1" x14ac:dyDescent="0.45">
      <c r="E2" s="19" t="s">
        <v>9</v>
      </c>
      <c r="F2" s="19"/>
      <c r="G2" s="7" t="s">
        <v>26</v>
      </c>
      <c r="J2" s="21" t="s">
        <v>28</v>
      </c>
      <c r="K2" s="20">
        <f>F8*0.8+F10+F17+F18+F14*0.8+F15*0.8</f>
        <v>321299.40000000002</v>
      </c>
    </row>
    <row r="3" spans="1:11" x14ac:dyDescent="0.45">
      <c r="E3" s="14" t="s">
        <v>10</v>
      </c>
      <c r="F3" s="14"/>
      <c r="G3" s="14"/>
      <c r="J3" s="6" t="s">
        <v>29</v>
      </c>
      <c r="K3" s="22">
        <f>K2-F20</f>
        <v>-174403.59999999998</v>
      </c>
    </row>
    <row r="4" spans="1:11" x14ac:dyDescent="0.45">
      <c r="E4" s="15" t="s">
        <v>11</v>
      </c>
      <c r="F4" s="16">
        <v>12446</v>
      </c>
      <c r="G4" s="13">
        <v>0</v>
      </c>
      <c r="J4" s="6" t="s">
        <v>30</v>
      </c>
      <c r="K4" s="23">
        <v>1185480</v>
      </c>
    </row>
    <row r="5" spans="1:11" ht="14.65" thickBot="1" x14ac:dyDescent="0.5">
      <c r="E5" s="15" t="s">
        <v>13</v>
      </c>
      <c r="F5" s="16">
        <v>25451</v>
      </c>
      <c r="G5" s="13">
        <v>0</v>
      </c>
      <c r="J5" s="8" t="s">
        <v>31</v>
      </c>
      <c r="K5" s="9">
        <f>K4-K3</f>
        <v>1359883.6</v>
      </c>
    </row>
    <row r="6" spans="1:11" ht="14.65" thickTop="1" x14ac:dyDescent="0.45">
      <c r="E6" s="15" t="s">
        <v>12</v>
      </c>
      <c r="F6" s="16">
        <v>224790</v>
      </c>
      <c r="G6" s="13">
        <v>0</v>
      </c>
    </row>
    <row r="7" spans="1:11" x14ac:dyDescent="0.45">
      <c r="E7" s="15" t="s">
        <v>14</v>
      </c>
      <c r="F7" s="16">
        <v>45987</v>
      </c>
      <c r="G7" s="13">
        <v>0</v>
      </c>
    </row>
    <row r="8" spans="1:11" x14ac:dyDescent="0.45">
      <c r="E8" s="15" t="s">
        <v>15</v>
      </c>
      <c r="F8" s="16">
        <v>3112</v>
      </c>
      <c r="G8" s="13">
        <v>0.8</v>
      </c>
    </row>
    <row r="9" spans="1:11" x14ac:dyDescent="0.45">
      <c r="E9" s="15" t="s">
        <v>16</v>
      </c>
      <c r="F9" s="16">
        <v>715</v>
      </c>
      <c r="G9" s="13">
        <v>0</v>
      </c>
    </row>
    <row r="10" spans="1:11" x14ac:dyDescent="0.45">
      <c r="E10" s="15" t="s">
        <v>17</v>
      </c>
      <c r="F10" s="16">
        <v>13394</v>
      </c>
      <c r="G10" s="13">
        <v>1</v>
      </c>
    </row>
    <row r="11" spans="1:11" x14ac:dyDescent="0.45">
      <c r="E11" s="15" t="s">
        <v>19</v>
      </c>
      <c r="F11" s="16"/>
      <c r="G11" s="15"/>
    </row>
    <row r="12" spans="1:11" x14ac:dyDescent="0.45">
      <c r="E12" s="15" t="s">
        <v>20</v>
      </c>
      <c r="F12">
        <v>0</v>
      </c>
      <c r="G12" s="13"/>
    </row>
    <row r="13" spans="1:11" x14ac:dyDescent="0.45">
      <c r="E13" s="15" t="s">
        <v>21</v>
      </c>
      <c r="F13" s="16">
        <v>17722</v>
      </c>
      <c r="G13" s="13">
        <v>0</v>
      </c>
    </row>
    <row r="14" spans="1:11" x14ac:dyDescent="0.45">
      <c r="E14" s="15" t="s">
        <v>22</v>
      </c>
      <c r="F14" s="16">
        <v>190873</v>
      </c>
      <c r="G14" s="13">
        <v>0.8</v>
      </c>
    </row>
    <row r="15" spans="1:11" x14ac:dyDescent="0.45">
      <c r="E15" s="15" t="s">
        <v>23</v>
      </c>
      <c r="F15" s="16">
        <v>9493</v>
      </c>
      <c r="G15" s="13">
        <v>0.8</v>
      </c>
    </row>
    <row r="16" spans="1:11" x14ac:dyDescent="0.45">
      <c r="E16" s="15" t="s">
        <v>24</v>
      </c>
      <c r="F16" s="16">
        <v>10559</v>
      </c>
      <c r="G16" s="13">
        <v>0</v>
      </c>
    </row>
    <row r="17" spans="5:7" x14ac:dyDescent="0.45">
      <c r="E17" s="15" t="s">
        <v>25</v>
      </c>
      <c r="F17" s="16">
        <v>18650</v>
      </c>
      <c r="G17" s="13">
        <v>1</v>
      </c>
    </row>
    <row r="18" spans="5:7" ht="14.65" thickBot="1" x14ac:dyDescent="0.5">
      <c r="E18" s="17" t="s">
        <v>5</v>
      </c>
      <c r="F18" s="18">
        <v>126473</v>
      </c>
      <c r="G18" s="13">
        <v>1</v>
      </c>
    </row>
    <row r="19" spans="5:7" ht="15" thickTop="1" thickBot="1" x14ac:dyDescent="0.5"/>
    <row r="20" spans="5:7" ht="15" thickTop="1" thickBot="1" x14ac:dyDescent="0.5">
      <c r="E20" s="11" t="s">
        <v>27</v>
      </c>
      <c r="F20" s="12">
        <v>495703</v>
      </c>
    </row>
    <row r="21" spans="5:7" ht="14.65" thickTop="1" x14ac:dyDescent="0.45"/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EDD7-7A1E-4620-AC5F-C2FFDFB4C9BC}">
  <dimension ref="C3:AQ29"/>
  <sheetViews>
    <sheetView tabSelected="1" topLeftCell="C5" workbookViewId="0">
      <selection activeCell="F27" sqref="F27"/>
    </sheetView>
  </sheetViews>
  <sheetFormatPr defaultRowHeight="14.25" x14ac:dyDescent="0.45"/>
  <cols>
    <col min="3" max="3" width="43.06640625" bestFit="1" customWidth="1"/>
    <col min="4" max="5" width="10.86328125" bestFit="1" customWidth="1"/>
    <col min="8" max="8" width="18" bestFit="1" customWidth="1"/>
    <col min="9" max="9" width="13.6640625" bestFit="1" customWidth="1"/>
    <col min="17" max="18" width="9.86328125" bestFit="1" customWidth="1"/>
  </cols>
  <sheetData>
    <row r="3" spans="3:15" x14ac:dyDescent="0.45"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</row>
    <row r="4" spans="3:15" x14ac:dyDescent="0.45">
      <c r="C4" s="25" t="s">
        <v>44</v>
      </c>
      <c r="D4" s="27">
        <v>185532</v>
      </c>
      <c r="E4" s="26">
        <f>395581-185532</f>
        <v>210049</v>
      </c>
      <c r="F4" s="26">
        <v>229778</v>
      </c>
      <c r="G4" s="26">
        <f>856334-F4-E4-D4</f>
        <v>230975</v>
      </c>
      <c r="H4" s="26">
        <v>229549</v>
      </c>
      <c r="I4" s="26">
        <f>456384-229549</f>
        <v>226835</v>
      </c>
      <c r="J4" s="26">
        <v>234258</v>
      </c>
      <c r="K4" s="26">
        <f>912055-J4-I4-H4</f>
        <v>221413</v>
      </c>
      <c r="L4" s="26">
        <v>238294</v>
      </c>
      <c r="M4" s="26"/>
      <c r="N4" s="26"/>
      <c r="O4" s="26"/>
    </row>
    <row r="5" spans="3:15" x14ac:dyDescent="0.45">
      <c r="C5" t="s">
        <v>55</v>
      </c>
      <c r="D5" s="1">
        <v>3601</v>
      </c>
      <c r="E5" s="1">
        <f>11641-3601</f>
        <v>8040</v>
      </c>
      <c r="F5" s="1">
        <v>7002</v>
      </c>
      <c r="G5" s="1">
        <f>28176-F5-D5-E5</f>
        <v>9533</v>
      </c>
      <c r="H5" s="1">
        <v>5229</v>
      </c>
      <c r="I5" s="1">
        <f>10651-5229</f>
        <v>5422</v>
      </c>
      <c r="J5" s="1">
        <v>6928</v>
      </c>
      <c r="K5" s="1">
        <f>32154-J5-I5-H5</f>
        <v>14575</v>
      </c>
      <c r="L5">
        <v>6554</v>
      </c>
      <c r="M5" s="1"/>
      <c r="N5" s="1"/>
      <c r="O5" s="1"/>
    </row>
    <row r="6" spans="3:15" x14ac:dyDescent="0.45">
      <c r="C6" s="25" t="s">
        <v>45</v>
      </c>
      <c r="D6" s="27">
        <v>-125462</v>
      </c>
      <c r="E6" s="26">
        <f>-265431--125462</f>
        <v>-139969</v>
      </c>
      <c r="F6" s="26">
        <v>-151001</v>
      </c>
      <c r="G6" s="26">
        <f>-571063-F6-E6-D6</f>
        <v>-154631</v>
      </c>
      <c r="H6" s="26">
        <v>-158085</v>
      </c>
      <c r="I6" s="26">
        <f>-318447--158085</f>
        <v>-160362</v>
      </c>
      <c r="J6" s="26">
        <v>-166137</v>
      </c>
      <c r="K6" s="26">
        <f>-654747-J6-I6-H6</f>
        <v>-170163</v>
      </c>
      <c r="L6" s="26">
        <v>-168162</v>
      </c>
      <c r="M6" s="26"/>
      <c r="N6" s="26"/>
      <c r="O6" s="26"/>
    </row>
    <row r="7" spans="3:15" x14ac:dyDescent="0.45">
      <c r="C7" t="s">
        <v>58</v>
      </c>
      <c r="D7" s="1">
        <v>-18787</v>
      </c>
      <c r="E7" s="1">
        <f>-38343--18787</f>
        <v>-19556</v>
      </c>
      <c r="F7" s="1">
        <v>-19782</v>
      </c>
      <c r="G7" s="1">
        <f>-76980-F7-E7-D7</f>
        <v>-18855</v>
      </c>
      <c r="H7" s="1">
        <v>-21811</v>
      </c>
      <c r="I7" s="1">
        <f>-43220--21811</f>
        <v>-21409</v>
      </c>
      <c r="J7" s="1">
        <v>-21793</v>
      </c>
      <c r="K7" s="1">
        <f>-73124-J7-I7-H7</f>
        <v>-8111</v>
      </c>
      <c r="L7" s="1">
        <v>-17222</v>
      </c>
      <c r="M7" s="1"/>
      <c r="N7" s="1"/>
      <c r="O7" s="1"/>
    </row>
    <row r="8" spans="3:15" x14ac:dyDescent="0.45">
      <c r="C8" s="25" t="s">
        <v>46</v>
      </c>
      <c r="D8" s="27">
        <v>-16386</v>
      </c>
      <c r="E8" s="26">
        <f>-35317--16386</f>
        <v>-18931</v>
      </c>
      <c r="F8" s="26">
        <v>-18928</v>
      </c>
      <c r="G8" s="26">
        <f>-89017-D8-E8-F8</f>
        <v>-34772</v>
      </c>
      <c r="H8" s="26">
        <v>-24349</v>
      </c>
      <c r="I8" s="26">
        <f>-47073--24349</f>
        <v>-22724</v>
      </c>
      <c r="J8" s="26">
        <v>-20193</v>
      </c>
      <c r="K8" s="26">
        <f>-91298-J8-I8-H8</f>
        <v>-24032</v>
      </c>
      <c r="L8" s="26">
        <v>-22390</v>
      </c>
      <c r="M8" s="26"/>
      <c r="N8" s="26"/>
      <c r="O8" s="26"/>
    </row>
    <row r="9" spans="3:15" x14ac:dyDescent="0.45">
      <c r="C9" t="s">
        <v>54</v>
      </c>
      <c r="D9" s="1">
        <v>-660</v>
      </c>
      <c r="E9" s="1">
        <f>-970--660</f>
        <v>-310</v>
      </c>
      <c r="F9" s="1">
        <v>508</v>
      </c>
      <c r="G9" s="1">
        <f>-2155-F9-E9-D9</f>
        <v>-1693</v>
      </c>
      <c r="H9" s="1">
        <v>184</v>
      </c>
      <c r="I9" s="1">
        <f>-302-184</f>
        <v>-486</v>
      </c>
      <c r="J9" s="1">
        <v>-2495</v>
      </c>
      <c r="K9" s="1">
        <f>-4112-J9-I9-H9</f>
        <v>-1315</v>
      </c>
      <c r="L9" s="1">
        <v>-1141</v>
      </c>
      <c r="M9" s="1"/>
      <c r="N9" s="1"/>
      <c r="O9" s="1"/>
    </row>
    <row r="10" spans="3:15" x14ac:dyDescent="0.45">
      <c r="C10" s="25" t="s">
        <v>47</v>
      </c>
      <c r="D10" s="27">
        <v>-7396</v>
      </c>
      <c r="E10" s="26">
        <f>-15693--7396</f>
        <v>-8297</v>
      </c>
      <c r="F10" s="26">
        <v>-8435</v>
      </c>
      <c r="G10" s="26">
        <f>-33125-F10-E10-D10</f>
        <v>-8997</v>
      </c>
      <c r="H10" s="26">
        <v>-7720</v>
      </c>
      <c r="I10" s="26">
        <f>-15505--7720</f>
        <v>-7785</v>
      </c>
      <c r="J10" s="26">
        <v>-8522</v>
      </c>
      <c r="K10" s="26">
        <f>-35073-J10-I10-H10</f>
        <v>-11046</v>
      </c>
      <c r="L10" s="26">
        <v>-9348</v>
      </c>
      <c r="M10" s="26"/>
      <c r="N10" s="26"/>
      <c r="O10" s="26"/>
    </row>
    <row r="11" spans="3:15" x14ac:dyDescent="0.45">
      <c r="C11" t="s">
        <v>48</v>
      </c>
      <c r="D11" s="1">
        <v>20488</v>
      </c>
      <c r="E11" s="1">
        <f>51557-20488</f>
        <v>31069</v>
      </c>
      <c r="F11" s="1">
        <v>39187</v>
      </c>
      <c r="G11" s="1">
        <f>112434-F11-E11-D11</f>
        <v>21690</v>
      </c>
      <c r="H11" s="1">
        <v>23055</v>
      </c>
      <c r="I11" s="1">
        <f>42602-23055</f>
        <v>19547</v>
      </c>
      <c r="J11" s="1">
        <v>22082</v>
      </c>
      <c r="K11" s="1">
        <f>86202-J11-I11-H11</f>
        <v>21518</v>
      </c>
      <c r="L11" s="1">
        <v>26643</v>
      </c>
      <c r="M11" s="1"/>
      <c r="N11" s="1"/>
      <c r="O11" s="1"/>
    </row>
    <row r="12" spans="3:15" x14ac:dyDescent="0.45">
      <c r="C12" s="25" t="s">
        <v>50</v>
      </c>
      <c r="D12" s="27">
        <v>114</v>
      </c>
      <c r="E12" s="26">
        <f>237-114</f>
        <v>123</v>
      </c>
      <c r="F12" s="26">
        <v>102</v>
      </c>
      <c r="G12" s="26">
        <f>502-F12-E12-D12</f>
        <v>163</v>
      </c>
      <c r="H12" s="26">
        <v>323</v>
      </c>
      <c r="I12" s="26">
        <f>763-323</f>
        <v>440</v>
      </c>
      <c r="J12" s="26">
        <v>338</v>
      </c>
      <c r="K12" s="26">
        <f>1808-J12-H12-I12</f>
        <v>707</v>
      </c>
      <c r="L12" s="26">
        <v>829</v>
      </c>
      <c r="M12" s="26"/>
      <c r="N12" s="26"/>
      <c r="O12" s="26"/>
    </row>
    <row r="13" spans="3:15" x14ac:dyDescent="0.45">
      <c r="C13" t="s">
        <v>49</v>
      </c>
      <c r="D13" s="1">
        <v>-2251</v>
      </c>
      <c r="E13" s="1">
        <f>-4505--2251</f>
        <v>-2254</v>
      </c>
      <c r="F13" s="1">
        <v>-3404</v>
      </c>
      <c r="G13" s="1">
        <f>-11236-F13-E13-D13</f>
        <v>-3327</v>
      </c>
      <c r="H13" s="1">
        <v>-3702</v>
      </c>
      <c r="I13" s="1">
        <f>-8035--3702</f>
        <v>-4333</v>
      </c>
      <c r="J13" s="1">
        <v>-5163</v>
      </c>
      <c r="K13" s="1">
        <f>-18167-J13-I13-H13</f>
        <v>-4969</v>
      </c>
      <c r="L13" s="1">
        <v>-5296</v>
      </c>
      <c r="M13" s="1"/>
      <c r="N13" s="1"/>
      <c r="O13" s="1"/>
    </row>
    <row r="14" spans="3:15" x14ac:dyDescent="0.45">
      <c r="C14" s="25" t="s">
        <v>51</v>
      </c>
      <c r="D14" s="27">
        <v>18350</v>
      </c>
      <c r="E14" s="26">
        <f>E13+E12+E11</f>
        <v>28938</v>
      </c>
      <c r="F14" s="26">
        <v>35885</v>
      </c>
      <c r="G14" s="26">
        <f>101700-F14-D14-E14</f>
        <v>18527</v>
      </c>
      <c r="H14" s="26">
        <f>H11+H13+H12+1</f>
        <v>19677</v>
      </c>
      <c r="I14" s="26">
        <f>35331-19677</f>
        <v>15654</v>
      </c>
      <c r="J14" s="26">
        <v>17258</v>
      </c>
      <c r="K14" s="26">
        <f>69843-J14-I14-H14</f>
        <v>17254</v>
      </c>
      <c r="L14" s="26">
        <v>22176</v>
      </c>
      <c r="M14" s="26"/>
      <c r="N14" s="26"/>
      <c r="O14" s="26"/>
    </row>
    <row r="15" spans="3:15" x14ac:dyDescent="0.45">
      <c r="C15" t="s">
        <v>52</v>
      </c>
      <c r="D15" s="1">
        <v>-4414</v>
      </c>
      <c r="E15" s="1">
        <f>-10989--4414</f>
        <v>-6575</v>
      </c>
      <c r="F15" s="1">
        <v>-10124</v>
      </c>
      <c r="G15" s="1">
        <f>-24318-F15-E15-D15</f>
        <v>-3205</v>
      </c>
      <c r="H15" s="1">
        <v>-4541</v>
      </c>
      <c r="I15" s="1">
        <f>-8745--4541</f>
        <v>-4204</v>
      </c>
      <c r="J15" s="1">
        <v>-4699</v>
      </c>
      <c r="K15" s="1">
        <f>-17702-J15-I15-H15</f>
        <v>-4258</v>
      </c>
      <c r="L15" s="1">
        <v>-5612</v>
      </c>
      <c r="M15" s="1"/>
      <c r="N15" s="1"/>
      <c r="O15" s="1"/>
    </row>
    <row r="16" spans="3:15" x14ac:dyDescent="0.45">
      <c r="C16" s="25" t="s">
        <v>53</v>
      </c>
      <c r="D16" s="27">
        <v>13936</v>
      </c>
      <c r="E16" s="26">
        <f>36300-13936</f>
        <v>22364</v>
      </c>
      <c r="F16" s="26">
        <v>25761</v>
      </c>
      <c r="G16" s="26">
        <f>77382-F16-E16-D16</f>
        <v>15321</v>
      </c>
      <c r="H16" s="26">
        <f>H15+H14</f>
        <v>15136</v>
      </c>
      <c r="I16" s="26">
        <f>26586-15136</f>
        <v>11450</v>
      </c>
      <c r="J16" s="26">
        <v>12558</v>
      </c>
      <c r="K16" s="26">
        <f>52141-J16-I16-H16</f>
        <v>12997</v>
      </c>
      <c r="L16" s="26">
        <v>16564</v>
      </c>
      <c r="M16" s="26"/>
      <c r="N16" s="26"/>
      <c r="O16" s="26"/>
    </row>
    <row r="17" spans="3:43" x14ac:dyDescent="0.45">
      <c r="C17" t="s">
        <v>57</v>
      </c>
      <c r="D17" s="1">
        <v>1856</v>
      </c>
      <c r="E17" s="1">
        <f>8348-1856</f>
        <v>6492</v>
      </c>
      <c r="F17" s="1">
        <v>8863</v>
      </c>
      <c r="G17" s="24">
        <f>-2552-F17-E17-D17</f>
        <v>-19763</v>
      </c>
      <c r="H17" s="1">
        <v>-3558</v>
      </c>
      <c r="I17" s="1">
        <f>-4312--3558</f>
        <v>-754</v>
      </c>
      <c r="J17" s="1">
        <v>8041</v>
      </c>
      <c r="K17" s="24">
        <f>-10680-J17-I17-H17</f>
        <v>-14409</v>
      </c>
      <c r="L17" s="1">
        <v>5227</v>
      </c>
    </row>
    <row r="18" spans="3:43" x14ac:dyDescent="0.45">
      <c r="C18" s="25" t="s">
        <v>56</v>
      </c>
      <c r="D18" s="26">
        <f>D17+D16</f>
        <v>15792</v>
      </c>
      <c r="E18" s="27">
        <f>44648-15792</f>
        <v>28856</v>
      </c>
      <c r="F18" s="26">
        <f>F17+F16</f>
        <v>34624</v>
      </c>
      <c r="G18" s="26">
        <f>74830-F18-E18-D18</f>
        <v>-4442</v>
      </c>
      <c r="H18" s="26">
        <f>H16+H17</f>
        <v>11578</v>
      </c>
      <c r="I18" s="26">
        <f>I17+I16</f>
        <v>10696</v>
      </c>
      <c r="J18" s="26">
        <f>J17+J16</f>
        <v>20599</v>
      </c>
      <c r="K18" s="26">
        <f>41461-J18-I18-H18</f>
        <v>-1412</v>
      </c>
      <c r="L18" s="26">
        <v>21841</v>
      </c>
      <c r="M18" s="25"/>
      <c r="N18" s="25"/>
      <c r="O18" s="25"/>
    </row>
    <row r="21" spans="3:43" x14ac:dyDescent="0.45">
      <c r="E21">
        <v>2020</v>
      </c>
      <c r="F21">
        <v>2021</v>
      </c>
      <c r="G21">
        <v>2022</v>
      </c>
      <c r="H21">
        <v>2023</v>
      </c>
      <c r="I21">
        <v>2024</v>
      </c>
      <c r="J21">
        <v>2025</v>
      </c>
      <c r="K21">
        <v>2026</v>
      </c>
      <c r="L21">
        <v>2027</v>
      </c>
      <c r="M21">
        <v>2028</v>
      </c>
      <c r="N21">
        <v>2029</v>
      </c>
      <c r="O21">
        <v>2030</v>
      </c>
      <c r="P21">
        <v>2031</v>
      </c>
      <c r="Q21">
        <v>2032</v>
      </c>
      <c r="R21">
        <v>2033</v>
      </c>
    </row>
    <row r="22" spans="3:43" x14ac:dyDescent="0.45">
      <c r="D22" t="s">
        <v>44</v>
      </c>
      <c r="E22" s="1">
        <v>430372</v>
      </c>
      <c r="F22" s="1">
        <v>546039</v>
      </c>
      <c r="G22" s="1">
        <v>856334</v>
      </c>
      <c r="H22" s="1">
        <v>912055</v>
      </c>
    </row>
    <row r="23" spans="3:43" x14ac:dyDescent="0.45">
      <c r="D23" t="s">
        <v>53</v>
      </c>
      <c r="E23" s="1">
        <v>24356</v>
      </c>
      <c r="F23" s="1">
        <v>30003</v>
      </c>
      <c r="G23" s="1">
        <v>77382</v>
      </c>
      <c r="H23" s="1">
        <v>52141</v>
      </c>
      <c r="I23" s="24">
        <f>H23*1.1</f>
        <v>57355.100000000006</v>
      </c>
      <c r="J23" s="24">
        <f t="shared" ref="J23:AQ23" si="0">I23*1.1</f>
        <v>63090.610000000015</v>
      </c>
      <c r="K23" s="24">
        <f t="shared" si="0"/>
        <v>69399.671000000017</v>
      </c>
      <c r="L23" s="24">
        <f t="shared" si="0"/>
        <v>76339.638100000026</v>
      </c>
      <c r="M23" s="24">
        <f t="shared" si="0"/>
        <v>83973.601910000041</v>
      </c>
      <c r="N23" s="24">
        <f t="shared" si="0"/>
        <v>92370.962101000056</v>
      </c>
      <c r="O23" s="24">
        <f t="shared" si="0"/>
        <v>101608.05831110007</v>
      </c>
      <c r="P23" s="24">
        <f t="shared" si="0"/>
        <v>111768.86414221009</v>
      </c>
      <c r="Q23" s="24">
        <f t="shared" si="0"/>
        <v>122945.75055643111</v>
      </c>
      <c r="R23" s="24">
        <f t="shared" si="0"/>
        <v>135240.32561207423</v>
      </c>
      <c r="S23" s="24">
        <f t="shared" si="0"/>
        <v>148764.35817328165</v>
      </c>
      <c r="T23" s="24">
        <f t="shared" si="0"/>
        <v>163640.79399060982</v>
      </c>
      <c r="U23" s="24">
        <f t="shared" si="0"/>
        <v>180004.8733896708</v>
      </c>
      <c r="V23" s="24">
        <f t="shared" si="0"/>
        <v>198005.3607286379</v>
      </c>
      <c r="W23" s="24">
        <f t="shared" si="0"/>
        <v>217805.89680150172</v>
      </c>
      <c r="X23" s="24">
        <f t="shared" si="0"/>
        <v>239586.4864816519</v>
      </c>
      <c r="Y23" s="24">
        <f t="shared" si="0"/>
        <v>263545.13512981712</v>
      </c>
      <c r="Z23" s="24">
        <f t="shared" si="0"/>
        <v>289899.64864279889</v>
      </c>
      <c r="AA23" s="24">
        <f t="shared" si="0"/>
        <v>318889.61350707879</v>
      </c>
      <c r="AB23" s="24">
        <f t="shared" si="0"/>
        <v>350778.57485778671</v>
      </c>
      <c r="AC23" s="24">
        <f t="shared" si="0"/>
        <v>385856.43234356539</v>
      </c>
      <c r="AD23" s="24">
        <f t="shared" si="0"/>
        <v>424442.07557792199</v>
      </c>
      <c r="AE23" s="24">
        <f t="shared" si="0"/>
        <v>466886.28313571424</v>
      </c>
      <c r="AF23" s="24">
        <f t="shared" si="0"/>
        <v>513574.91144928569</v>
      </c>
      <c r="AG23" s="24">
        <f t="shared" si="0"/>
        <v>564932.40259421431</v>
      </c>
      <c r="AH23" s="24">
        <f t="shared" si="0"/>
        <v>621425.64285363583</v>
      </c>
      <c r="AI23" s="24">
        <f t="shared" si="0"/>
        <v>683568.20713899948</v>
      </c>
      <c r="AJ23" s="24">
        <f t="shared" si="0"/>
        <v>751925.02785289951</v>
      </c>
      <c r="AK23" s="24">
        <f t="shared" si="0"/>
        <v>827117.53063818952</v>
      </c>
      <c r="AL23" s="24">
        <f t="shared" si="0"/>
        <v>909829.28370200854</v>
      </c>
      <c r="AM23" s="24">
        <f t="shared" si="0"/>
        <v>1000812.2120722095</v>
      </c>
      <c r="AN23" s="24">
        <f t="shared" si="0"/>
        <v>1100893.4332794305</v>
      </c>
      <c r="AO23" s="24">
        <f t="shared" si="0"/>
        <v>1210982.7766073737</v>
      </c>
      <c r="AP23" s="24">
        <f t="shared" si="0"/>
        <v>1332081.0542681112</v>
      </c>
      <c r="AQ23" s="24">
        <f t="shared" si="0"/>
        <v>1465289.1596949224</v>
      </c>
    </row>
    <row r="24" spans="3:43" x14ac:dyDescent="0.45">
      <c r="F24" s="28">
        <f>(F23-E23)/E23</f>
        <v>0.23185252093939893</v>
      </c>
      <c r="G24" s="28">
        <f>(G23-F23)/F23</f>
        <v>1.5791420857914209</v>
      </c>
      <c r="H24" s="28">
        <f>(H23-G23)/G23</f>
        <v>-0.3261869685456566</v>
      </c>
    </row>
    <row r="25" spans="3:43" x14ac:dyDescent="0.45">
      <c r="D25" s="24"/>
    </row>
    <row r="26" spans="3:43" x14ac:dyDescent="0.45">
      <c r="E26" s="28"/>
    </row>
    <row r="27" spans="3:43" x14ac:dyDescent="0.45">
      <c r="E27" s="24"/>
      <c r="G27" s="29"/>
      <c r="H27" s="10" t="s">
        <v>59</v>
      </c>
      <c r="I27" s="30">
        <f>NPV(10.8%,I23:AK23)</f>
        <v>1358842.4522042754</v>
      </c>
    </row>
    <row r="28" spans="3:43" x14ac:dyDescent="0.45">
      <c r="H28" s="10" t="s">
        <v>60</v>
      </c>
    </row>
    <row r="29" spans="3:43" x14ac:dyDescent="0.45">
      <c r="H2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NA9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2024-11-03T16:59:43Z</dcterms:modified>
</cp:coreProperties>
</file>