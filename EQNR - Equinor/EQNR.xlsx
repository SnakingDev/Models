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807265685c9c5407/Ambiente de Trabalho/Market Theory/Stock Research/EQNR - Equinor (!!!)/"/>
    </mc:Choice>
  </mc:AlternateContent>
  <xr:revisionPtr revIDLastSave="485" documentId="11_AD4DF034E34935FBC521DCE2FF5B45405ADEDD89" xr6:coauthVersionLast="47" xr6:coauthVersionMax="47" xr10:uidLastSave="{C350FC4E-275B-40FD-BB75-0180FEB6E39A}"/>
  <bookViews>
    <workbookView xWindow="-98" yWindow="-98" windowWidth="20715" windowHeight="13155" activeTab="2" xr2:uid="{00000000-000D-0000-FFFF-FFFF00000000}"/>
  </bookViews>
  <sheets>
    <sheet name="EQNR" sheetId="1" r:id="rId1"/>
    <sheet name="Balance Sheet" sheetId="2" r:id="rId2"/>
    <sheet name="DC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3" l="1"/>
  <c r="M2" i="2"/>
  <c r="M3" i="2"/>
  <c r="M5" i="2" s="1"/>
  <c r="L41" i="3"/>
  <c r="M41" i="3" s="1"/>
  <c r="N41" i="3" s="1"/>
  <c r="O41" i="3" s="1"/>
  <c r="P41" i="3" s="1"/>
  <c r="Q41" i="3" s="1"/>
  <c r="R41" i="3" s="1"/>
  <c r="S41" i="3" s="1"/>
  <c r="T41" i="3" s="1"/>
  <c r="U41" i="3" s="1"/>
  <c r="V41" i="3" s="1"/>
  <c r="W41" i="3" s="1"/>
  <c r="X41" i="3" s="1"/>
  <c r="Y41" i="3" s="1"/>
  <c r="Z41" i="3" s="1"/>
  <c r="AA41" i="3" s="1"/>
  <c r="AB41" i="3" s="1"/>
  <c r="AC41" i="3" s="1"/>
  <c r="AD41" i="3" s="1"/>
  <c r="AE41" i="3" s="1"/>
  <c r="AF41" i="3" s="1"/>
  <c r="AG41" i="3" s="1"/>
  <c r="AH41" i="3" s="1"/>
  <c r="AI41" i="3" s="1"/>
  <c r="K41" i="3"/>
  <c r="J41" i="3"/>
  <c r="I41" i="3"/>
  <c r="H41" i="3"/>
  <c r="L37" i="3"/>
  <c r="K37" i="3"/>
  <c r="J37" i="3"/>
  <c r="I37" i="3"/>
  <c r="H37" i="3"/>
  <c r="G37" i="3"/>
  <c r="F37" i="3"/>
  <c r="E37" i="3"/>
  <c r="I36" i="3"/>
  <c r="H36" i="3"/>
  <c r="G36" i="3"/>
  <c r="F36" i="3"/>
  <c r="E36" i="3"/>
  <c r="L36" i="3"/>
  <c r="K36" i="3"/>
  <c r="J36" i="3"/>
  <c r="G20" i="3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AG20" i="3" s="1"/>
  <c r="AH20" i="3" s="1"/>
  <c r="AI20" i="3" s="1"/>
  <c r="AJ20" i="3" s="1"/>
  <c r="AK20" i="3" s="1"/>
  <c r="AL20" i="3" s="1"/>
  <c r="AM20" i="3" s="1"/>
  <c r="AN20" i="3" s="1"/>
  <c r="AO20" i="3" s="1"/>
  <c r="AP20" i="3" s="1"/>
  <c r="AQ20" i="3" s="1"/>
  <c r="AR20" i="3" s="1"/>
  <c r="AS20" i="3" s="1"/>
  <c r="AT20" i="3" s="1"/>
  <c r="AU20" i="3" s="1"/>
  <c r="AV20" i="3" s="1"/>
  <c r="AW20" i="3" s="1"/>
  <c r="AX20" i="3" s="1"/>
  <c r="AY20" i="3" s="1"/>
  <c r="AZ20" i="3" s="1"/>
  <c r="F20" i="3"/>
  <c r="E20" i="3"/>
  <c r="E5" i="3"/>
  <c r="G18" i="3"/>
  <c r="F18" i="3"/>
  <c r="G5" i="3"/>
  <c r="H5" i="3"/>
  <c r="N18" i="3"/>
  <c r="M18" i="3"/>
  <c r="L18" i="3"/>
  <c r="K18" i="3"/>
  <c r="J18" i="3"/>
  <c r="I18" i="3"/>
  <c r="H18" i="3"/>
  <c r="E18" i="3"/>
  <c r="P18" i="3"/>
  <c r="O18" i="3"/>
  <c r="F9" i="1"/>
  <c r="F6" i="1"/>
  <c r="H22" i="3" l="1"/>
</calcChain>
</file>

<file path=xl/sharedStrings.xml><?xml version="1.0" encoding="utf-8"?>
<sst xmlns="http://schemas.openxmlformats.org/spreadsheetml/2006/main" count="69" uniqueCount="67">
  <si>
    <t>Ticker</t>
  </si>
  <si>
    <t>Price</t>
  </si>
  <si>
    <t>S O/s</t>
  </si>
  <si>
    <t>MC</t>
  </si>
  <si>
    <t>Cash</t>
  </si>
  <si>
    <t>Debt</t>
  </si>
  <si>
    <t>EV</t>
  </si>
  <si>
    <t>$EQNR</t>
  </si>
  <si>
    <t>Assets</t>
  </si>
  <si>
    <t>Non-Current Assets</t>
  </si>
  <si>
    <t>Market Capitalization</t>
  </si>
  <si>
    <t>Asset Liquidation Value</t>
  </si>
  <si>
    <t>Company Liquidation Value</t>
  </si>
  <si>
    <t>Liquidability (%)</t>
  </si>
  <si>
    <t>PPE</t>
  </si>
  <si>
    <t>Intangible Assets</t>
  </si>
  <si>
    <t>Equity accounted investments</t>
  </si>
  <si>
    <t>Deferred tax assets</t>
  </si>
  <si>
    <t>Pension assets</t>
  </si>
  <si>
    <t>Derivative financial instruments</t>
  </si>
  <si>
    <t>Financial investments</t>
  </si>
  <si>
    <t>Prepayments and financial receivables</t>
  </si>
  <si>
    <t>Current Assets</t>
  </si>
  <si>
    <t>Inventories</t>
  </si>
  <si>
    <t>Trade and other receivables</t>
  </si>
  <si>
    <t>Financial Investments</t>
  </si>
  <si>
    <t>Cash and cash equivalents</t>
  </si>
  <si>
    <t>Total liabilities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</si>
  <si>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</si>
  <si>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</si>
  <si>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</si>
  <si>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</si>
  <si>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</si>
  <si>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</si>
  <si>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</si>
  <si>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</si>
  <si>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</si>
  <si>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</si>
  <si>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</si>
  <si>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</si>
  <si>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Revenue</t>
  </si>
  <si>
    <t>Other income</t>
  </si>
  <si>
    <t>Purchases (net of inventory variation)</t>
  </si>
  <si>
    <t>Operating expenses</t>
  </si>
  <si>
    <t>Selling, general and administrative expenses</t>
  </si>
  <si>
    <t>Depreciation, amortisation and net impairments</t>
  </si>
  <si>
    <t>Exploration expenses</t>
  </si>
  <si>
    <t>Total operating expenses</t>
  </si>
  <si>
    <t>Net Income</t>
  </si>
  <si>
    <t>EBIT</t>
  </si>
  <si>
    <t>Interest income and other financial income</t>
  </si>
  <si>
    <t>Interest expenses and other financial expenses</t>
  </si>
  <si>
    <t>Other financial items</t>
  </si>
  <si>
    <t>EBT</t>
  </si>
  <si>
    <t>Income Tax</t>
  </si>
  <si>
    <t>Operating CF</t>
  </si>
  <si>
    <t>Investing CF</t>
  </si>
  <si>
    <t>Financing CF</t>
  </si>
  <si>
    <t>Capital Expenditure</t>
  </si>
  <si>
    <t>FCF</t>
  </si>
  <si>
    <t>Average Quarterly NI</t>
  </si>
  <si>
    <t>Discounted NI</t>
  </si>
  <si>
    <t>Net change in cash</t>
  </si>
  <si>
    <t>Discounted FCF</t>
  </si>
  <si>
    <t>Assumptions:</t>
  </si>
  <si>
    <t>0 growth</t>
  </si>
  <si>
    <t>discount rate 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</si>
</sst>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ck">
        <color indexed="2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1" applyNumberFormat="1" applyFont="1"/>
    <xf numFmtId="164" fontId="1" fillId="0" borderId="0" xfId="1" applyNumberFormat="1" applyFont="1" applyFill="1" applyBorder="1" applyAlignment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164" fontId="1" fillId="0" borderId="2" xfId="1" applyNumberFormat="1" applyFont="1" applyFill="1" applyBorder="1" applyAlignment="1"/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right"/>
    </xf>
    <xf numFmtId="0" fontId="2" fillId="0" borderId="3" xfId="0" applyFont="1" applyBorder="1" applyAlignment="1">
      <alignment horizontal="left"/>
    </xf>
    <xf numFmtId="164" fontId="1" fillId="0" borderId="3" xfId="1" applyNumberFormat="1" applyFont="1" applyFill="1" applyBorder="1" applyAlignment="1"/>
    <xf numFmtId="0" fontId="4" fillId="0" borderId="0" xfId="0" applyFont="1"/>
    <xf numFmtId="0" fontId="2" fillId="0" borderId="0" xfId="0" applyFont="1"/>
    <xf numFmtId="9" fontId="0" fillId="0" borderId="0" xfId="2" applyFont="1"/>
    <xf numFmtId="0" fontId="2" fillId="0" borderId="0" xfId="0" applyFont="1" applyAlignment="1">
      <alignment horizontal="center"/>
    </xf>
    <xf numFmtId="0" fontId="0" fillId="0" borderId="0" xfId="0" applyFont="1"/>
    <xf numFmtId="164" fontId="0" fillId="0" borderId="0" xfId="0" applyNumberFormat="1"/>
    <xf numFmtId="164" fontId="2" fillId="0" borderId="0" xfId="1" applyNumberFormat="1" applyFont="1"/>
    <xf numFmtId="164" fontId="1" fillId="0" borderId="0" xfId="1" applyNumberFormat="1" applyFont="1"/>
    <xf numFmtId="0" fontId="2" fillId="0" borderId="0" xfId="0" applyNumberFormat="1" applyFont="1"/>
    <xf numFmtId="8" fontId="0" fillId="0" borderId="0" xfId="0" applyNumberFormat="1"/>
  </cellXfs>
  <cellStyles count="3">
    <cellStyle name="Normal" xfId="0" builtinId="0"/>
    <cellStyle name="Pe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F10"/>
  <sheetViews>
    <sheetView workbookViewId="0">
      <selection activeCell="G7" sqref="G7"/>
    </sheetView>
  </sheetViews>
  <sheetFormatPr defaultRowHeight="14.25" x14ac:dyDescent="0.45"/>
  <cols>
    <col min="5" max="5" width="6" bestFit="1" customWidth="1"/>
    <col min="6" max="6" width="11.86328125" bestFit="1" customWidth="1"/>
  </cols>
  <sheetData>
    <row r="2" spans="5:6" ht="14.65" thickBot="1" x14ac:dyDescent="0.5"/>
    <row r="3" spans="5:6" ht="16.149999999999999" thickTop="1" x14ac:dyDescent="0.5">
      <c r="E3" s="3" t="s">
        <v>0</v>
      </c>
      <c r="F3" s="7" t="s">
        <v>7</v>
      </c>
    </row>
    <row r="4" spans="5:6" x14ac:dyDescent="0.45">
      <c r="E4" s="4" t="s">
        <v>1</v>
      </c>
      <c r="F4">
        <v>23.96</v>
      </c>
    </row>
    <row r="5" spans="5:6" x14ac:dyDescent="0.45">
      <c r="E5" s="4" t="s">
        <v>2</v>
      </c>
      <c r="F5" s="2">
        <v>2767000</v>
      </c>
    </row>
    <row r="6" spans="5:6" x14ac:dyDescent="0.45">
      <c r="E6" s="6" t="s">
        <v>3</v>
      </c>
      <c r="F6" s="5">
        <f>F4*F5</f>
        <v>66297320</v>
      </c>
    </row>
    <row r="7" spans="5:6" x14ac:dyDescent="0.45">
      <c r="E7" s="6" t="s">
        <v>4</v>
      </c>
      <c r="F7" s="5">
        <v>8002000</v>
      </c>
    </row>
    <row r="8" spans="5:6" x14ac:dyDescent="0.45">
      <c r="E8" s="6" t="s">
        <v>5</v>
      </c>
      <c r="F8" s="5">
        <v>90732000</v>
      </c>
    </row>
    <row r="9" spans="5:6" ht="14.65" thickBot="1" x14ac:dyDescent="0.5">
      <c r="E9" s="8" t="s">
        <v>6</v>
      </c>
      <c r="F9" s="9">
        <f>F6+F8-F7</f>
        <v>149027320</v>
      </c>
    </row>
    <row r="10" spans="5:6" ht="14.65" thickTop="1" x14ac:dyDescent="0.4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6B18-BB17-4AAC-A287-704A6F801DD8}">
  <dimension ref="E2:M25"/>
  <sheetViews>
    <sheetView workbookViewId="0">
      <selection activeCell="M5" sqref="M5"/>
    </sheetView>
  </sheetViews>
  <sheetFormatPr defaultRowHeight="14.25" x14ac:dyDescent="0.45"/>
  <cols>
    <col min="5" max="5" width="31.06640625" bestFit="1" customWidth="1"/>
    <col min="7" max="7" width="13.46484375" bestFit="1" customWidth="1"/>
    <col min="12" max="12" width="22.3984375" bestFit="1" customWidth="1"/>
    <col min="13" max="13" width="14.3984375" bestFit="1" customWidth="1"/>
  </cols>
  <sheetData>
    <row r="2" spans="5:13" x14ac:dyDescent="0.45">
      <c r="E2" s="13" t="s">
        <v>8</v>
      </c>
      <c r="F2" s="13"/>
      <c r="G2" s="11" t="s">
        <v>13</v>
      </c>
      <c r="L2" t="s">
        <v>10</v>
      </c>
      <c r="M2" s="1">
        <f>66297320/1000</f>
        <v>66297.320000000007</v>
      </c>
    </row>
    <row r="3" spans="5:13" x14ac:dyDescent="0.45">
      <c r="E3" s="10" t="s">
        <v>9</v>
      </c>
      <c r="G3" s="12"/>
      <c r="L3" t="s">
        <v>11</v>
      </c>
      <c r="M3" s="1">
        <f>(F6*0.7+F7+F8+F9*0.5+F10*0.8+F11*0.8+F18+F13*0.8+F15*0.8+F14*0.7+F16*0.8+F17*0.8)</f>
        <v>55138</v>
      </c>
    </row>
    <row r="4" spans="5:13" x14ac:dyDescent="0.45">
      <c r="E4" t="s">
        <v>14</v>
      </c>
      <c r="F4" s="1">
        <v>60728</v>
      </c>
      <c r="G4" s="12">
        <v>0</v>
      </c>
      <c r="L4" t="s">
        <v>27</v>
      </c>
      <c r="M4" s="1">
        <v>90732</v>
      </c>
    </row>
    <row r="5" spans="5:13" x14ac:dyDescent="0.45">
      <c r="E5" t="s">
        <v>15</v>
      </c>
      <c r="F5" s="1">
        <v>6330</v>
      </c>
      <c r="G5" s="12">
        <v>0</v>
      </c>
      <c r="L5" t="s">
        <v>12</v>
      </c>
      <c r="M5" s="15">
        <f>M2+M4-M3</f>
        <v>101891.32</v>
      </c>
    </row>
    <row r="6" spans="5:13" x14ac:dyDescent="0.45">
      <c r="E6" t="s">
        <v>16</v>
      </c>
      <c r="F6" s="1">
        <v>2509</v>
      </c>
      <c r="G6" s="12">
        <v>0.7</v>
      </c>
    </row>
    <row r="7" spans="5:13" x14ac:dyDescent="0.45">
      <c r="E7" t="s">
        <v>17</v>
      </c>
      <c r="F7" s="1">
        <v>7412</v>
      </c>
      <c r="G7" s="12">
        <v>1</v>
      </c>
    </row>
    <row r="8" spans="5:13" x14ac:dyDescent="0.45">
      <c r="E8" t="s">
        <v>18</v>
      </c>
      <c r="F8" s="1">
        <v>1676</v>
      </c>
      <c r="G8" s="12">
        <v>1</v>
      </c>
    </row>
    <row r="9" spans="5:13" x14ac:dyDescent="0.45">
      <c r="E9" t="s">
        <v>19</v>
      </c>
      <c r="F9" s="1">
        <v>572</v>
      </c>
      <c r="G9" s="12">
        <v>0.5</v>
      </c>
    </row>
    <row r="10" spans="5:13" x14ac:dyDescent="0.45">
      <c r="E10" t="s">
        <v>20</v>
      </c>
      <c r="F10" s="1">
        <v>3743</v>
      </c>
      <c r="G10" s="12">
        <v>0.8</v>
      </c>
    </row>
    <row r="11" spans="5:13" x14ac:dyDescent="0.45">
      <c r="E11" t="s">
        <v>21</v>
      </c>
      <c r="F11" s="1">
        <v>1610</v>
      </c>
      <c r="G11" s="12">
        <v>0.8</v>
      </c>
    </row>
    <row r="12" spans="5:13" x14ac:dyDescent="0.45">
      <c r="E12" s="10" t="s">
        <v>22</v>
      </c>
      <c r="F12" s="1"/>
      <c r="G12" s="12"/>
    </row>
    <row r="13" spans="5:13" x14ac:dyDescent="0.45">
      <c r="E13" s="14" t="s">
        <v>23</v>
      </c>
      <c r="F13" s="1">
        <v>3258</v>
      </c>
      <c r="G13" s="12">
        <v>0.8</v>
      </c>
    </row>
    <row r="14" spans="5:13" x14ac:dyDescent="0.45">
      <c r="E14" s="14" t="s">
        <v>24</v>
      </c>
      <c r="F14" s="1">
        <v>10583</v>
      </c>
      <c r="G14" s="12">
        <v>0.7</v>
      </c>
    </row>
    <row r="15" spans="5:13" x14ac:dyDescent="0.45">
      <c r="E15" s="14" t="s">
        <v>21</v>
      </c>
      <c r="F15" s="1">
        <v>3628</v>
      </c>
      <c r="G15" s="12">
        <v>0.8</v>
      </c>
    </row>
    <row r="16" spans="5:13" x14ac:dyDescent="0.45">
      <c r="E16" s="14" t="s">
        <v>19</v>
      </c>
      <c r="F16" s="1">
        <v>796</v>
      </c>
      <c r="G16" s="12">
        <v>0.8</v>
      </c>
    </row>
    <row r="17" spans="5:7" x14ac:dyDescent="0.45">
      <c r="E17" s="14" t="s">
        <v>25</v>
      </c>
      <c r="F17" s="1">
        <v>22712</v>
      </c>
      <c r="G17" s="12">
        <v>0.8</v>
      </c>
    </row>
    <row r="18" spans="5:7" x14ac:dyDescent="0.45">
      <c r="E18" s="14" t="s">
        <v>26</v>
      </c>
      <c r="F18" s="1">
        <v>8002</v>
      </c>
      <c r="G18" s="12">
        <v>1</v>
      </c>
    </row>
    <row r="19" spans="5:7" x14ac:dyDescent="0.45">
      <c r="E19" s="11"/>
      <c r="F19" s="1"/>
      <c r="G19" s="12"/>
    </row>
    <row r="20" spans="5:7" x14ac:dyDescent="0.45">
      <c r="F20" s="1"/>
      <c r="G20" s="12"/>
    </row>
    <row r="21" spans="5:7" x14ac:dyDescent="0.45">
      <c r="F21" s="1"/>
    </row>
    <row r="22" spans="5:7" x14ac:dyDescent="0.45">
      <c r="F22" s="1"/>
    </row>
    <row r="23" spans="5:7" x14ac:dyDescent="0.45">
      <c r="F23" s="1"/>
    </row>
    <row r="24" spans="5:7" x14ac:dyDescent="0.45">
      <c r="F24" s="1"/>
    </row>
    <row r="25" spans="5:7" x14ac:dyDescent="0.45">
      <c r="F25" s="1"/>
    </row>
  </sheetData>
  <mergeCells count="1"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B4C2A-F9D0-4594-970D-5F7822CCE4EB}">
  <dimension ref="B3:AZ44"/>
  <sheetViews>
    <sheetView tabSelected="1" topLeftCell="B19" workbookViewId="0">
      <selection activeCell="H43" sqref="H43"/>
    </sheetView>
  </sheetViews>
  <sheetFormatPr defaultRowHeight="14.25" x14ac:dyDescent="0.45"/>
  <cols>
    <col min="4" max="4" width="39.1328125" bestFit="1" customWidth="1"/>
    <col min="7" max="7" width="12.796875" bestFit="1" customWidth="1"/>
    <col min="8" max="8" width="11.1328125" bestFit="1" customWidth="1"/>
    <col min="12" max="12" width="9.86328125" bestFit="1" customWidth="1"/>
    <col min="14" max="15" width="9.86328125" bestFit="1" customWidth="1"/>
  </cols>
  <sheetData>
    <row r="3" spans="4:16" x14ac:dyDescent="0.45"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</row>
    <row r="4" spans="4:16" x14ac:dyDescent="0.45">
      <c r="D4" s="11" t="s">
        <v>40</v>
      </c>
      <c r="E4" s="16">
        <v>36050</v>
      </c>
      <c r="F4" s="16">
        <v>36387</v>
      </c>
      <c r="G4" s="16">
        <v>42726</v>
      </c>
      <c r="H4" s="16">
        <v>33841</v>
      </c>
      <c r="I4" s="16">
        <v>29210</v>
      </c>
      <c r="J4" s="16">
        <v>22870</v>
      </c>
      <c r="K4" s="16">
        <v>25924</v>
      </c>
      <c r="L4" s="16">
        <v>28843</v>
      </c>
      <c r="M4" s="16">
        <v>25089</v>
      </c>
      <c r="N4" s="16">
        <v>25462</v>
      </c>
      <c r="O4" s="16">
        <v>25416</v>
      </c>
      <c r="P4" s="1"/>
    </row>
    <row r="5" spans="4:16" x14ac:dyDescent="0.45">
      <c r="D5" t="s">
        <v>41</v>
      </c>
      <c r="E5" s="1">
        <f>244+99</f>
        <v>343</v>
      </c>
      <c r="F5" s="1">
        <v>72</v>
      </c>
      <c r="G5" s="1">
        <f>75+833</f>
        <v>908</v>
      </c>
      <c r="H5" s="1">
        <f>395+84</f>
        <v>479</v>
      </c>
      <c r="I5" s="1">
        <v>13</v>
      </c>
      <c r="J5" s="1">
        <v>2</v>
      </c>
      <c r="K5" s="1">
        <v>99</v>
      </c>
      <c r="L5" s="1">
        <v>211</v>
      </c>
      <c r="M5" s="1">
        <v>47</v>
      </c>
      <c r="N5" s="1">
        <v>77</v>
      </c>
      <c r="O5" s="1">
        <v>30</v>
      </c>
      <c r="P5" s="1"/>
    </row>
    <row r="6" spans="4:16" x14ac:dyDescent="0.45">
      <c r="D6" t="s">
        <v>42</v>
      </c>
      <c r="E6" s="1">
        <v>-13510</v>
      </c>
      <c r="F6" s="1">
        <v>-13851</v>
      </c>
      <c r="G6" s="1">
        <v>-13592</v>
      </c>
      <c r="H6" s="1">
        <v>-12853</v>
      </c>
      <c r="I6" s="1">
        <v>-11235</v>
      </c>
      <c r="J6" s="1">
        <v>-10867</v>
      </c>
      <c r="K6" s="1">
        <v>-12269</v>
      </c>
      <c r="L6" s="1">
        <v>-13804</v>
      </c>
      <c r="M6" s="1">
        <v>-11922</v>
      </c>
      <c r="N6" s="1">
        <v>-12145</v>
      </c>
      <c r="O6" s="1">
        <v>-13104</v>
      </c>
      <c r="P6" s="1"/>
    </row>
    <row r="7" spans="4:16" x14ac:dyDescent="0.45">
      <c r="D7" t="s">
        <v>43</v>
      </c>
      <c r="E7" s="1">
        <v>-1989</v>
      </c>
      <c r="F7" s="1">
        <v>-2200</v>
      </c>
      <c r="G7" s="1">
        <v>-2393</v>
      </c>
      <c r="H7" s="1">
        <v>-3026</v>
      </c>
      <c r="I7" s="1">
        <v>-2722</v>
      </c>
      <c r="J7" s="1">
        <v>-2565</v>
      </c>
      <c r="K7" s="1">
        <v>-2420</v>
      </c>
      <c r="L7" s="1">
        <v>-2875</v>
      </c>
      <c r="M7" s="1">
        <v>-2630</v>
      </c>
      <c r="N7" s="1">
        <v>-2761</v>
      </c>
      <c r="O7" s="1">
        <v>-2518</v>
      </c>
      <c r="P7" s="1"/>
    </row>
    <row r="8" spans="4:16" x14ac:dyDescent="0.45">
      <c r="D8" t="s">
        <v>44</v>
      </c>
      <c r="E8" s="1">
        <v>-282</v>
      </c>
      <c r="F8" s="1">
        <v>-205</v>
      </c>
      <c r="G8" s="1">
        <v>-221</v>
      </c>
      <c r="H8" s="1">
        <v>-278</v>
      </c>
      <c r="I8" s="1">
        <v>-304</v>
      </c>
      <c r="J8" s="1">
        <v>-216</v>
      </c>
      <c r="K8" s="1">
        <v>-295</v>
      </c>
      <c r="L8" s="1">
        <v>-403</v>
      </c>
      <c r="M8" s="1">
        <v>-341</v>
      </c>
      <c r="N8" s="1">
        <v>-348</v>
      </c>
      <c r="O8" s="1">
        <v>-304</v>
      </c>
      <c r="P8" s="1"/>
    </row>
    <row r="9" spans="4:16" x14ac:dyDescent="0.45">
      <c r="D9" t="s">
        <v>45</v>
      </c>
      <c r="E9" s="1">
        <v>-2017</v>
      </c>
      <c r="F9" s="1">
        <v>-2140</v>
      </c>
      <c r="G9" s="1">
        <v>-1049</v>
      </c>
      <c r="H9" s="1">
        <v>-1184</v>
      </c>
      <c r="I9" s="1">
        <v>-2200</v>
      </c>
      <c r="J9" s="1">
        <v>-2243</v>
      </c>
      <c r="K9" s="1">
        <v>-3369</v>
      </c>
      <c r="L9" s="1">
        <v>-2821</v>
      </c>
      <c r="M9" s="1">
        <v>-2345</v>
      </c>
      <c r="N9" s="1">
        <v>-2348</v>
      </c>
      <c r="O9" s="1">
        <v>-2318</v>
      </c>
      <c r="P9" s="1"/>
    </row>
    <row r="10" spans="4:16" x14ac:dyDescent="0.45">
      <c r="D10" t="s">
        <v>46</v>
      </c>
      <c r="E10" s="1">
        <v>-203</v>
      </c>
      <c r="F10" s="1">
        <v>-331</v>
      </c>
      <c r="G10" s="1">
        <v>-275</v>
      </c>
      <c r="H10" s="1">
        <v>-396</v>
      </c>
      <c r="I10" s="1">
        <v>-246</v>
      </c>
      <c r="J10" s="1">
        <v>71</v>
      </c>
      <c r="K10" s="1">
        <v>-218</v>
      </c>
      <c r="L10" s="1">
        <v>-402</v>
      </c>
      <c r="M10" s="1">
        <v>-266</v>
      </c>
      <c r="N10" s="17">
        <v>-279</v>
      </c>
      <c r="O10" s="1">
        <v>-296</v>
      </c>
      <c r="P10" s="1"/>
    </row>
    <row r="11" spans="4:16" x14ac:dyDescent="0.45">
      <c r="D11" s="11" t="s">
        <v>47</v>
      </c>
      <c r="E11" s="16">
        <v>-18001</v>
      </c>
      <c r="F11" s="16">
        <v>-18727</v>
      </c>
      <c r="G11" s="16">
        <v>-17531</v>
      </c>
      <c r="H11" s="16">
        <v>-17737</v>
      </c>
      <c r="I11" s="16">
        <v>-16707</v>
      </c>
      <c r="J11" s="16">
        <v>-15821</v>
      </c>
      <c r="K11" s="16">
        <v>-18571</v>
      </c>
      <c r="L11" s="16">
        <v>-20306</v>
      </c>
      <c r="M11" s="16">
        <v>-17504</v>
      </c>
      <c r="N11" s="16">
        <v>-17883</v>
      </c>
      <c r="O11" s="16">
        <v>-18541</v>
      </c>
      <c r="P11" s="1"/>
    </row>
    <row r="12" spans="4:16" x14ac:dyDescent="0.45">
      <c r="D12" s="11" t="s">
        <v>49</v>
      </c>
      <c r="E12" s="16">
        <v>18392</v>
      </c>
      <c r="F12" s="16">
        <v>17733</v>
      </c>
      <c r="G12" s="16">
        <v>26103</v>
      </c>
      <c r="H12" s="16">
        <v>16584</v>
      </c>
      <c r="I12" s="16">
        <v>12517</v>
      </c>
      <c r="J12" s="16">
        <v>7051</v>
      </c>
      <c r="K12" s="16">
        <v>7453</v>
      </c>
      <c r="L12" s="16">
        <v>8748</v>
      </c>
      <c r="M12" s="16">
        <v>7631</v>
      </c>
      <c r="N12" s="16">
        <v>7656</v>
      </c>
      <c r="O12" s="16">
        <v>6905</v>
      </c>
      <c r="P12" s="1"/>
    </row>
    <row r="13" spans="4:16" x14ac:dyDescent="0.45">
      <c r="D13" t="s">
        <v>50</v>
      </c>
      <c r="E13" s="1">
        <v>-266</v>
      </c>
      <c r="F13" s="1">
        <v>-327</v>
      </c>
      <c r="G13" s="1">
        <v>-336</v>
      </c>
      <c r="H13" s="1">
        <v>-450</v>
      </c>
      <c r="I13" s="1">
        <v>590</v>
      </c>
      <c r="J13" s="1">
        <v>-481</v>
      </c>
      <c r="K13" s="1">
        <v>580</v>
      </c>
      <c r="L13" s="1">
        <v>661</v>
      </c>
      <c r="M13" s="1">
        <v>560</v>
      </c>
      <c r="N13" s="1">
        <v>495</v>
      </c>
      <c r="O13" s="1">
        <v>460</v>
      </c>
      <c r="P13" s="1"/>
    </row>
    <row r="14" spans="4:16" x14ac:dyDescent="0.45">
      <c r="D14" t="s">
        <v>51</v>
      </c>
      <c r="E14" s="1">
        <v>0</v>
      </c>
      <c r="F14" s="1">
        <v>0</v>
      </c>
      <c r="G14" s="1">
        <v>0</v>
      </c>
      <c r="H14" s="1">
        <v>0</v>
      </c>
      <c r="I14" s="1">
        <v>-463</v>
      </c>
      <c r="J14" s="1">
        <v>0</v>
      </c>
      <c r="K14" s="1">
        <v>-412</v>
      </c>
      <c r="L14" s="1">
        <v>-368</v>
      </c>
      <c r="M14" s="1">
        <v>-416</v>
      </c>
      <c r="N14" s="1">
        <v>-394</v>
      </c>
      <c r="O14" s="1">
        <v>-370</v>
      </c>
      <c r="P14" s="1"/>
    </row>
    <row r="15" spans="4:16" x14ac:dyDescent="0.45">
      <c r="D15" t="s">
        <v>52</v>
      </c>
      <c r="E15" s="1">
        <v>-903</v>
      </c>
      <c r="F15" s="1">
        <v>2351</v>
      </c>
      <c r="G15" s="1">
        <v>1389</v>
      </c>
      <c r="H15" s="1">
        <v>-1664</v>
      </c>
      <c r="I15" s="1">
        <v>1061</v>
      </c>
      <c r="J15" s="1">
        <v>741</v>
      </c>
      <c r="K15" s="1">
        <v>-155</v>
      </c>
      <c r="L15" s="1">
        <v>296</v>
      </c>
      <c r="M15" s="1">
        <v>222</v>
      </c>
      <c r="N15" s="1">
        <v>-226</v>
      </c>
      <c r="O15" s="1">
        <v>275</v>
      </c>
      <c r="P15" s="1"/>
    </row>
    <row r="16" spans="4:16" x14ac:dyDescent="0.45">
      <c r="D16" t="s">
        <v>53</v>
      </c>
      <c r="E16" s="1">
        <v>17223</v>
      </c>
      <c r="F16" s="1">
        <v>19756</v>
      </c>
      <c r="G16" s="1">
        <v>27156</v>
      </c>
      <c r="H16" s="1">
        <v>14469</v>
      </c>
      <c r="I16" s="1">
        <v>13707</v>
      </c>
      <c r="J16" s="1">
        <v>7374</v>
      </c>
      <c r="K16" s="1">
        <v>7466</v>
      </c>
      <c r="L16" s="1">
        <v>9337</v>
      </c>
      <c r="M16" s="1">
        <v>7998</v>
      </c>
      <c r="N16" s="1">
        <v>7530</v>
      </c>
      <c r="O16" s="1">
        <v>7271</v>
      </c>
      <c r="P16" s="1"/>
    </row>
    <row r="17" spans="4:52" x14ac:dyDescent="0.45">
      <c r="D17" t="s">
        <v>54</v>
      </c>
      <c r="E17" s="1">
        <v>-12509</v>
      </c>
      <c r="F17" s="1">
        <v>-12995</v>
      </c>
      <c r="G17" s="1">
        <v>-17785</v>
      </c>
      <c r="H17" s="1">
        <v>-6572</v>
      </c>
      <c r="I17" s="1">
        <v>-8741</v>
      </c>
      <c r="J17" s="1">
        <v>-5545</v>
      </c>
      <c r="K17" s="1">
        <v>-4965</v>
      </c>
      <c r="L17" s="1">
        <v>-6729</v>
      </c>
      <c r="M17" s="1">
        <v>-5325</v>
      </c>
      <c r="N17" s="1">
        <v>-5658</v>
      </c>
      <c r="O17" s="1">
        <v>-4986</v>
      </c>
      <c r="P17" s="1"/>
    </row>
    <row r="18" spans="4:52" x14ac:dyDescent="0.45">
      <c r="D18" t="s">
        <v>48</v>
      </c>
      <c r="E18" s="1">
        <f t="shared" ref="E18:N18" si="0">SUM(E16:E17)</f>
        <v>4714</v>
      </c>
      <c r="F18" s="1">
        <f>SUM(F16:F17)</f>
        <v>6761</v>
      </c>
      <c r="G18" s="1">
        <f t="shared" si="0"/>
        <v>9371</v>
      </c>
      <c r="H18" s="1">
        <f t="shared" si="0"/>
        <v>7897</v>
      </c>
      <c r="I18" s="1">
        <f t="shared" si="0"/>
        <v>4966</v>
      </c>
      <c r="J18" s="1">
        <f t="shared" si="0"/>
        <v>1829</v>
      </c>
      <c r="K18" s="1">
        <f t="shared" si="0"/>
        <v>2501</v>
      </c>
      <c r="L18" s="1">
        <f t="shared" si="0"/>
        <v>2608</v>
      </c>
      <c r="M18" s="1">
        <f t="shared" si="0"/>
        <v>2673</v>
      </c>
      <c r="N18" s="1">
        <f t="shared" si="0"/>
        <v>1872</v>
      </c>
      <c r="O18" s="1">
        <f>SUM(O16:O17)</f>
        <v>2285</v>
      </c>
      <c r="P18" s="1">
        <f>SUM(P16:P17)</f>
        <v>0</v>
      </c>
    </row>
    <row r="20" spans="4:52" x14ac:dyDescent="0.45">
      <c r="D20" t="s">
        <v>60</v>
      </c>
      <c r="E20" s="15">
        <f>AVERAGE(E18:O18)</f>
        <v>4316.090909090909</v>
      </c>
      <c r="F20" s="15">
        <f>E20</f>
        <v>4316.090909090909</v>
      </c>
      <c r="G20" s="15">
        <f t="shared" ref="G20:AZ20" si="1">F20</f>
        <v>4316.090909090909</v>
      </c>
      <c r="H20" s="15">
        <f t="shared" si="1"/>
        <v>4316.090909090909</v>
      </c>
      <c r="I20" s="15">
        <f t="shared" si="1"/>
        <v>4316.090909090909</v>
      </c>
      <c r="J20" s="15">
        <f t="shared" si="1"/>
        <v>4316.090909090909</v>
      </c>
      <c r="K20" s="15">
        <f t="shared" si="1"/>
        <v>4316.090909090909</v>
      </c>
      <c r="L20" s="15">
        <f t="shared" si="1"/>
        <v>4316.090909090909</v>
      </c>
      <c r="M20" s="15">
        <f t="shared" si="1"/>
        <v>4316.090909090909</v>
      </c>
      <c r="N20" s="15">
        <f t="shared" si="1"/>
        <v>4316.090909090909</v>
      </c>
      <c r="O20" s="15">
        <f t="shared" si="1"/>
        <v>4316.090909090909</v>
      </c>
      <c r="P20" s="15">
        <f t="shared" si="1"/>
        <v>4316.090909090909</v>
      </c>
      <c r="Q20" s="15">
        <f t="shared" si="1"/>
        <v>4316.090909090909</v>
      </c>
      <c r="R20" s="15">
        <f t="shared" si="1"/>
        <v>4316.090909090909</v>
      </c>
      <c r="S20" s="15">
        <f t="shared" si="1"/>
        <v>4316.090909090909</v>
      </c>
      <c r="T20" s="15">
        <f t="shared" si="1"/>
        <v>4316.090909090909</v>
      </c>
      <c r="U20" s="15">
        <f t="shared" si="1"/>
        <v>4316.090909090909</v>
      </c>
      <c r="V20" s="15">
        <f t="shared" si="1"/>
        <v>4316.090909090909</v>
      </c>
      <c r="W20" s="15">
        <f t="shared" si="1"/>
        <v>4316.090909090909</v>
      </c>
      <c r="X20" s="15">
        <f t="shared" si="1"/>
        <v>4316.090909090909</v>
      </c>
      <c r="Y20" s="15">
        <f t="shared" si="1"/>
        <v>4316.090909090909</v>
      </c>
      <c r="Z20" s="15">
        <f t="shared" si="1"/>
        <v>4316.090909090909</v>
      </c>
      <c r="AA20" s="15">
        <f t="shared" si="1"/>
        <v>4316.090909090909</v>
      </c>
      <c r="AB20" s="15">
        <f t="shared" si="1"/>
        <v>4316.090909090909</v>
      </c>
      <c r="AC20" s="15">
        <f t="shared" si="1"/>
        <v>4316.090909090909</v>
      </c>
      <c r="AD20" s="15">
        <f t="shared" si="1"/>
        <v>4316.090909090909</v>
      </c>
      <c r="AE20" s="15">
        <f t="shared" si="1"/>
        <v>4316.090909090909</v>
      </c>
      <c r="AF20" s="15">
        <f t="shared" si="1"/>
        <v>4316.090909090909</v>
      </c>
      <c r="AG20" s="15">
        <f t="shared" si="1"/>
        <v>4316.090909090909</v>
      </c>
      <c r="AH20" s="15">
        <f t="shared" si="1"/>
        <v>4316.090909090909</v>
      </c>
      <c r="AI20" s="15">
        <f t="shared" si="1"/>
        <v>4316.090909090909</v>
      </c>
      <c r="AJ20" s="15">
        <f t="shared" si="1"/>
        <v>4316.090909090909</v>
      </c>
      <c r="AK20" s="15">
        <f t="shared" si="1"/>
        <v>4316.090909090909</v>
      </c>
      <c r="AL20" s="15">
        <f t="shared" si="1"/>
        <v>4316.090909090909</v>
      </c>
      <c r="AM20" s="15">
        <f t="shared" si="1"/>
        <v>4316.090909090909</v>
      </c>
      <c r="AN20" s="15">
        <f t="shared" si="1"/>
        <v>4316.090909090909</v>
      </c>
      <c r="AO20" s="15">
        <f t="shared" si="1"/>
        <v>4316.090909090909</v>
      </c>
      <c r="AP20" s="15">
        <f t="shared" si="1"/>
        <v>4316.090909090909</v>
      </c>
      <c r="AQ20" s="15">
        <f t="shared" si="1"/>
        <v>4316.090909090909</v>
      </c>
      <c r="AR20" s="15">
        <f t="shared" si="1"/>
        <v>4316.090909090909</v>
      </c>
      <c r="AS20" s="15">
        <f t="shared" si="1"/>
        <v>4316.090909090909</v>
      </c>
      <c r="AT20" s="15">
        <f t="shared" si="1"/>
        <v>4316.090909090909</v>
      </c>
      <c r="AU20" s="15">
        <f t="shared" si="1"/>
        <v>4316.090909090909</v>
      </c>
      <c r="AV20" s="15">
        <f t="shared" si="1"/>
        <v>4316.090909090909</v>
      </c>
      <c r="AW20" s="15">
        <f t="shared" si="1"/>
        <v>4316.090909090909</v>
      </c>
      <c r="AX20" s="15">
        <f t="shared" si="1"/>
        <v>4316.090909090909</v>
      </c>
      <c r="AY20" s="15">
        <f t="shared" si="1"/>
        <v>4316.090909090909</v>
      </c>
      <c r="AZ20" s="15">
        <f t="shared" si="1"/>
        <v>4316.090909090909</v>
      </c>
    </row>
    <row r="22" spans="4:52" x14ac:dyDescent="0.45">
      <c r="G22" t="s">
        <v>61</v>
      </c>
      <c r="H22" s="19">
        <f>NPV(5%, E20:AN20)</f>
        <v>71417.716229118014</v>
      </c>
    </row>
    <row r="31" spans="4:52" x14ac:dyDescent="0.45">
      <c r="E31">
        <v>2016</v>
      </c>
      <c r="F31">
        <v>2017</v>
      </c>
      <c r="G31">
        <v>2018</v>
      </c>
      <c r="H31">
        <v>2019</v>
      </c>
      <c r="I31">
        <v>2020</v>
      </c>
      <c r="J31">
        <v>2021</v>
      </c>
      <c r="K31">
        <v>2022</v>
      </c>
      <c r="L31">
        <v>2023</v>
      </c>
      <c r="M31">
        <v>2024</v>
      </c>
    </row>
    <row r="32" spans="4:52" x14ac:dyDescent="0.45">
      <c r="D32" s="18" t="s">
        <v>55</v>
      </c>
      <c r="E32" s="1">
        <v>9034</v>
      </c>
      <c r="F32" s="1">
        <v>14363</v>
      </c>
      <c r="G32" s="1">
        <v>19694</v>
      </c>
      <c r="H32" s="1">
        <v>13749</v>
      </c>
      <c r="I32" s="1">
        <v>10386</v>
      </c>
      <c r="J32" s="1">
        <v>28816</v>
      </c>
      <c r="K32" s="1">
        <v>35136</v>
      </c>
      <c r="L32" s="1">
        <v>24701</v>
      </c>
      <c r="M32" s="1"/>
    </row>
    <row r="33" spans="2:35" x14ac:dyDescent="0.45">
      <c r="D33" t="s">
        <v>56</v>
      </c>
      <c r="E33" s="1">
        <v>-10446</v>
      </c>
      <c r="F33" s="1">
        <v>-9678</v>
      </c>
      <c r="G33" s="1">
        <v>-11212</v>
      </c>
      <c r="H33" s="1">
        <v>-10594</v>
      </c>
      <c r="I33" s="1">
        <v>-12092</v>
      </c>
      <c r="J33" s="1">
        <v>-12409</v>
      </c>
      <c r="K33" s="1">
        <v>-15863</v>
      </c>
      <c r="L33" s="1">
        <v>-16211</v>
      </c>
      <c r="M33" s="1"/>
    </row>
    <row r="34" spans="2:35" x14ac:dyDescent="0.45">
      <c r="D34" t="s">
        <v>57</v>
      </c>
      <c r="E34" s="1">
        <v>-1959</v>
      </c>
      <c r="F34" s="1">
        <v>-5822</v>
      </c>
      <c r="G34" s="1">
        <v>-11367</v>
      </c>
      <c r="H34" s="1">
        <v>-10204</v>
      </c>
      <c r="I34" s="1">
        <v>-8476</v>
      </c>
      <c r="J34" s="1">
        <v>-18142</v>
      </c>
      <c r="K34" s="1">
        <v>-15414</v>
      </c>
      <c r="L34" s="1">
        <v>-4836</v>
      </c>
      <c r="M34" s="1"/>
    </row>
    <row r="35" spans="2:35" x14ac:dyDescent="0.45">
      <c r="D35" t="s">
        <v>58</v>
      </c>
      <c r="E35" s="1">
        <v>-12191</v>
      </c>
      <c r="F35" s="1">
        <v>-10755</v>
      </c>
      <c r="G35" s="1">
        <v>-5024</v>
      </c>
      <c r="H35" s="1">
        <v>-5496</v>
      </c>
      <c r="I35" s="1">
        <v>2991</v>
      </c>
      <c r="J35" s="1">
        <v>-10575</v>
      </c>
      <c r="K35" s="1">
        <v>-8758</v>
      </c>
      <c r="L35" s="1">
        <v>-8040</v>
      </c>
      <c r="M35" s="1"/>
    </row>
    <row r="36" spans="2:35" x14ac:dyDescent="0.45">
      <c r="D36" s="11" t="s">
        <v>59</v>
      </c>
      <c r="E36" s="1">
        <f t="shared" ref="E36:I36" si="2">E32+E35</f>
        <v>-3157</v>
      </c>
      <c r="F36" s="1">
        <f t="shared" si="2"/>
        <v>3608</v>
      </c>
      <c r="G36" s="1">
        <f t="shared" si="2"/>
        <v>14670</v>
      </c>
      <c r="H36" s="1">
        <f t="shared" si="2"/>
        <v>8253</v>
      </c>
      <c r="I36" s="1">
        <f t="shared" si="2"/>
        <v>13377</v>
      </c>
      <c r="J36" s="1">
        <f>J32+J35</f>
        <v>18241</v>
      </c>
      <c r="K36" s="1">
        <f>K32+K35</f>
        <v>26378</v>
      </c>
      <c r="L36" s="1">
        <f>L32+L35</f>
        <v>16661</v>
      </c>
      <c r="M36" s="1"/>
    </row>
    <row r="37" spans="2:35" x14ac:dyDescent="0.45">
      <c r="D37" t="s">
        <v>62</v>
      </c>
      <c r="E37" s="15">
        <f>SUM(E32:E34)</f>
        <v>-3371</v>
      </c>
      <c r="F37" s="15">
        <f>SUM(F32:F34)</f>
        <v>-1137</v>
      </c>
      <c r="G37" s="15">
        <f>SUM(G32:G34)</f>
        <v>-2885</v>
      </c>
      <c r="H37" s="15">
        <f>SUM(H32:H34)</f>
        <v>-7049</v>
      </c>
      <c r="I37" s="15">
        <f>SUM(I32:I34)</f>
        <v>-10182</v>
      </c>
      <c r="J37" s="15">
        <f>SUM(J32:J34)</f>
        <v>-1735</v>
      </c>
      <c r="K37" s="15">
        <f>SUM(K32:K34)</f>
        <v>3859</v>
      </c>
      <c r="L37" s="15">
        <f>SUM(L32:L34)</f>
        <v>3654</v>
      </c>
    </row>
    <row r="40" spans="2:35" x14ac:dyDescent="0.45">
      <c r="G40" t="s">
        <v>63</v>
      </c>
    </row>
    <row r="41" spans="2:35" x14ac:dyDescent="0.45">
      <c r="F41" t="s">
        <v>64</v>
      </c>
      <c r="H41" s="15">
        <f>AVERAGE(E36:L36)</f>
        <v>12253.875</v>
      </c>
      <c r="I41" s="15">
        <f>H41</f>
        <v>12253.875</v>
      </c>
      <c r="J41" s="15">
        <f t="shared" ref="J41:AI41" si="3">I41</f>
        <v>12253.875</v>
      </c>
      <c r="K41" s="15">
        <f t="shared" si="3"/>
        <v>12253.875</v>
      </c>
      <c r="L41" s="15">
        <f t="shared" si="3"/>
        <v>12253.875</v>
      </c>
      <c r="M41" s="15">
        <f t="shared" si="3"/>
        <v>12253.875</v>
      </c>
      <c r="N41" s="15">
        <f t="shared" si="3"/>
        <v>12253.875</v>
      </c>
      <c r="O41" s="15">
        <f t="shared" si="3"/>
        <v>12253.875</v>
      </c>
      <c r="P41" s="15">
        <f t="shared" si="3"/>
        <v>12253.875</v>
      </c>
      <c r="Q41" s="15">
        <f t="shared" si="3"/>
        <v>12253.875</v>
      </c>
      <c r="R41" s="15">
        <f t="shared" si="3"/>
        <v>12253.875</v>
      </c>
      <c r="S41" s="15">
        <f t="shared" si="3"/>
        <v>12253.875</v>
      </c>
      <c r="T41" s="15">
        <f t="shared" si="3"/>
        <v>12253.875</v>
      </c>
      <c r="U41" s="15">
        <f t="shared" si="3"/>
        <v>12253.875</v>
      </c>
      <c r="V41" s="15">
        <f t="shared" si="3"/>
        <v>12253.875</v>
      </c>
      <c r="W41" s="15">
        <f t="shared" si="3"/>
        <v>12253.875</v>
      </c>
      <c r="X41" s="15">
        <f t="shared" si="3"/>
        <v>12253.875</v>
      </c>
      <c r="Y41" s="15">
        <f t="shared" si="3"/>
        <v>12253.875</v>
      </c>
      <c r="Z41" s="15">
        <f t="shared" si="3"/>
        <v>12253.875</v>
      </c>
      <c r="AA41" s="15">
        <f t="shared" si="3"/>
        <v>12253.875</v>
      </c>
      <c r="AB41" s="15">
        <f t="shared" si="3"/>
        <v>12253.875</v>
      </c>
      <c r="AC41" s="15">
        <f t="shared" si="3"/>
        <v>12253.875</v>
      </c>
      <c r="AD41" s="15">
        <f t="shared" si="3"/>
        <v>12253.875</v>
      </c>
      <c r="AE41" s="15">
        <f t="shared" si="3"/>
        <v>12253.875</v>
      </c>
      <c r="AF41" s="15">
        <f t="shared" si="3"/>
        <v>12253.875</v>
      </c>
      <c r="AG41" s="15">
        <f t="shared" si="3"/>
        <v>12253.875</v>
      </c>
      <c r="AH41" s="15">
        <f t="shared" si="3"/>
        <v>12253.875</v>
      </c>
      <c r="AI41" s="15">
        <f t="shared" si="3"/>
        <v>12253.875</v>
      </c>
    </row>
    <row r="42" spans="2:35" x14ac:dyDescent="0.45">
      <c r="F42" t="s">
        <v>66</v>
      </c>
      <c r="H42" s="19">
        <f>NPV(8%, H41:AI41)</f>
        <v>135418.53444909691</v>
      </c>
    </row>
    <row r="43" spans="2:35" x14ac:dyDescent="0.45">
      <c r="F43" t="s">
        <v>65</v>
      </c>
    </row>
    <row r="44" spans="2:35" x14ac:dyDescent="0.45">
      <c r="B44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EQNR</vt:lpstr>
      <vt:lpstr>Balance Sheet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Martim Silva Lobo</dc:creator>
  <cp:lastModifiedBy>Martim Silva Lobo</cp:lastModifiedBy>
  <dcterms:created xsi:type="dcterms:W3CDTF">2015-06-05T18:19:34Z</dcterms:created>
  <dcterms:modified xsi:type="dcterms:W3CDTF">2024-11-17T16:00:05Z</dcterms:modified>
</cp:coreProperties>
</file>