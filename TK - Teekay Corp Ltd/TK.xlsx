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TK - Teekay Corp Ltd(!!!!!!!!!!!!!!!!!!!!!!!!)/"/>
    </mc:Choice>
  </mc:AlternateContent>
  <xr:revisionPtr revIDLastSave="490" documentId="11_AD4DF034E34935FBC521DCE2FF5B45405ADEDD89" xr6:coauthVersionLast="47" xr6:coauthVersionMax="47" xr10:uidLastSave="{9C339BD9-1D10-4822-85F2-DD3B438A9FC1}"/>
  <bookViews>
    <workbookView xWindow="-98" yWindow="-98" windowWidth="20715" windowHeight="13155" activeTab="2" xr2:uid="{00000000-000D-0000-FFFF-FFFF00000000}"/>
  </bookViews>
  <sheets>
    <sheet name="TK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3" l="1"/>
  <c r="J12" i="3"/>
  <c r="K12" i="3"/>
  <c r="K18" i="3"/>
  <c r="F15" i="3"/>
  <c r="G15" i="3"/>
  <c r="E15" i="3"/>
  <c r="H15" i="3"/>
  <c r="O18" i="3"/>
  <c r="N18" i="3"/>
  <c r="M18" i="3"/>
  <c r="M12" i="3"/>
  <c r="L12" i="3"/>
  <c r="L18" i="3" s="1"/>
  <c r="I12" i="3"/>
  <c r="I18" i="3" s="1"/>
  <c r="H12" i="3"/>
  <c r="H18" i="3" s="1"/>
  <c r="G12" i="3"/>
  <c r="F12" i="3"/>
  <c r="E12" i="3"/>
  <c r="E18" i="3" s="1"/>
  <c r="N12" i="3"/>
  <c r="O12" i="3"/>
  <c r="I4" i="2"/>
  <c r="I3" i="2"/>
  <c r="E24" i="2"/>
  <c r="E18" i="2"/>
  <c r="E17" i="2"/>
  <c r="E10" i="2"/>
  <c r="E9" i="1"/>
  <c r="E8" i="1"/>
  <c r="E7" i="1"/>
  <c r="E6" i="1"/>
  <c r="F18" i="3" l="1"/>
</calcChain>
</file>

<file path=xl/sharedStrings.xml><?xml version="1.0" encoding="utf-8"?>
<sst xmlns="http://schemas.openxmlformats.org/spreadsheetml/2006/main" count="63" uniqueCount="63">
  <si>
    <t>Ticker</t>
  </si>
  <si>
    <t>Price</t>
  </si>
  <si>
    <t>S o/s</t>
  </si>
  <si>
    <t>MC</t>
  </si>
  <si>
    <t>Cash</t>
  </si>
  <si>
    <t>Debt</t>
  </si>
  <si>
    <t>EV</t>
  </si>
  <si>
    <t>$TK</t>
  </si>
  <si>
    <t>Assets</t>
  </si>
  <si>
    <t>Non-Current Assets</t>
  </si>
  <si>
    <t>PPE</t>
  </si>
  <si>
    <t>&gt; Bunker and lube oil inventory</t>
  </si>
  <si>
    <t>&gt; Vessels and equipment</t>
  </si>
  <si>
    <t>Operating lease right-of-use assets</t>
  </si>
  <si>
    <t>Investment in and loans to equity-accounted investment</t>
  </si>
  <si>
    <t>Other non-current assets</t>
  </si>
  <si>
    <t>Current Assets</t>
  </si>
  <si>
    <t>Cash and cash equivalents</t>
  </si>
  <si>
    <t>Restricted cash</t>
  </si>
  <si>
    <t>Accrued revenue and other current assets</t>
  </si>
  <si>
    <t>Accounts receivable</t>
  </si>
  <si>
    <t>Short-term investments</t>
  </si>
  <si>
    <t>Assets held for sale</t>
  </si>
  <si>
    <t>Total Non-Current Assets</t>
  </si>
  <si>
    <t>Total Current Assets</t>
  </si>
  <si>
    <t>Total Liabilities</t>
  </si>
  <si>
    <t>Liabilities</t>
  </si>
  <si>
    <t>Accounts payable and other current liabilities</t>
  </si>
  <si>
    <t>Operating lease liabilities</t>
  </si>
  <si>
    <t>Other long-term liabilities</t>
  </si>
  <si>
    <t>Market Capitalization</t>
  </si>
  <si>
    <t>Assets Liquidation Value</t>
  </si>
  <si>
    <t>Liquidability (%)</t>
  </si>
  <si>
    <t>Company Liquidation Value</t>
  </si>
  <si>
    <t>Revenue</t>
  </si>
  <si>
    <t>Vessel operating expenses</t>
  </si>
  <si>
    <t>Voyage expenses</t>
  </si>
  <si>
    <t>Time-charter hire expenses</t>
  </si>
  <si>
    <t>Depreciation and amortization</t>
  </si>
  <si>
    <t>General &amp; administrative expenses</t>
  </si>
  <si>
    <t>Gain on sale of assets</t>
  </si>
  <si>
    <t>Restructuring charges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</si>
  <si>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</si>
  <si>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</si>
  <si>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</si>
  <si>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</si>
  <si>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</si>
  <si>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</si>
  <si>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</si>
  <si>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</si>
  <si>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</si>
  <si>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</si>
  <si>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</si>
  <si>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</si>
  <si>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Interest Expense</t>
  </si>
  <si>
    <t>EBIT</t>
  </si>
  <si>
    <t>Income Taxes</t>
  </si>
  <si>
    <t>Interest Income</t>
  </si>
  <si>
    <t>Other income</t>
  </si>
  <si>
    <t>Equity income/loss</t>
  </si>
  <si>
    <t>Net Income</t>
  </si>
  <si>
    <t>Net Income attributable to shareholders</t>
  </si>
  <si>
    <t>EXTREMELY CYCLICAL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</si>
</sst>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4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42"/>
        <bgColor indexed="24"/>
      </patternFill>
    </fill>
  </fills>
  <borders count="7">
    <border>
      <left/>
      <right/>
      <top/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  <border>
      <left/>
      <right/>
      <top style="thick">
        <color indexed="20"/>
      </top>
      <bottom/>
      <diagonal/>
    </border>
    <border>
      <left/>
      <right/>
      <top/>
      <bottom style="thick">
        <color indexed="20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1" fillId="0" borderId="0" xfId="1" applyNumberFormat="1" applyFont="1" applyFill="1" applyBorder="1" applyAlignment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4" fontId="1" fillId="0" borderId="2" xfId="1" applyNumberFormat="1" applyFont="1" applyFill="1" applyBorder="1" applyAlignment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3" xfId="0" applyFont="1" applyBorder="1" applyAlignment="1">
      <alignment horizontal="left"/>
    </xf>
    <xf numFmtId="164" fontId="1" fillId="0" borderId="3" xfId="1" applyNumberFormat="1" applyFont="1" applyFill="1" applyBorder="1" applyAlignment="1"/>
    <xf numFmtId="0" fontId="2" fillId="0" borderId="0" xfId="0" applyFont="1"/>
    <xf numFmtId="164" fontId="0" fillId="0" borderId="0" xfId="1" applyNumberFormat="1" applyFont="1"/>
    <xf numFmtId="164" fontId="2" fillId="0" borderId="0" xfId="1" applyNumberFormat="1" applyFont="1"/>
    <xf numFmtId="0" fontId="3" fillId="0" borderId="4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4" xfId="0" applyFill="1" applyBorder="1" applyAlignment="1">
      <alignment horizontal="right"/>
    </xf>
    <xf numFmtId="164" fontId="1" fillId="0" borderId="0" xfId="1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left"/>
    </xf>
    <xf numFmtId="164" fontId="2" fillId="0" borderId="3" xfId="1" applyNumberFormat="1" applyFont="1" applyFill="1" applyBorder="1" applyAlignment="1"/>
    <xf numFmtId="0" fontId="2" fillId="0" borderId="2" xfId="0" applyFont="1" applyFill="1" applyBorder="1" applyAlignment="1">
      <alignment horizontal="left"/>
    </xf>
    <xf numFmtId="164" fontId="2" fillId="0" borderId="2" xfId="1" applyNumberFormat="1" applyFont="1" applyFill="1" applyBorder="1" applyAlignment="1"/>
    <xf numFmtId="9" fontId="0" fillId="0" borderId="0" xfId="2" applyFont="1"/>
    <xf numFmtId="9" fontId="1" fillId="0" borderId="0" xfId="2" applyFont="1" applyFill="1" applyBorder="1" applyAlignment="1"/>
    <xf numFmtId="44" fontId="0" fillId="0" borderId="0" xfId="0" applyNumberFormat="1" applyFill="1" applyBorder="1" applyAlignment="1"/>
    <xf numFmtId="43" fontId="0" fillId="0" borderId="0" xfId="0" applyNumberFormat="1" applyFill="1" applyBorder="1" applyAlignment="1"/>
    <xf numFmtId="43" fontId="1" fillId="0" borderId="5" xfId="2" applyNumberFormat="1" applyFont="1" applyFill="1" applyBorder="1" applyAlignment="1"/>
    <xf numFmtId="0" fontId="0" fillId="0" borderId="1" xfId="0" applyFill="1" applyBorder="1" applyAlignment="1">
      <alignment horizontal="right"/>
    </xf>
    <xf numFmtId="164" fontId="0" fillId="0" borderId="0" xfId="0" applyNumberFormat="1"/>
    <xf numFmtId="164" fontId="4" fillId="3" borderId="0" xfId="1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164" fontId="4" fillId="3" borderId="0" xfId="0" applyNumberFormat="1" applyFont="1" applyFill="1" applyBorder="1" applyAlignment="1"/>
    <xf numFmtId="0" fontId="5" fillId="2" borderId="6" xfId="0" applyFont="1" applyFill="1" applyBorder="1" applyAlignment="1">
      <alignment horizontal="left"/>
    </xf>
    <xf numFmtId="164" fontId="4" fillId="2" borderId="6" xfId="0" applyNumberFormat="1" applyFont="1" applyFill="1" applyBorder="1" applyAlignment="1"/>
    <xf numFmtId="164" fontId="2" fillId="0" borderId="0" xfId="0" applyNumberFormat="1" applyFont="1"/>
    <xf numFmtId="8" fontId="2" fillId="0" borderId="0" xfId="0" applyNumberFormat="1" applyFont="1"/>
    <xf numFmtId="0" fontId="6" fillId="0" borderId="0" xfId="0" applyFont="1"/>
  </cellXfs>
  <cellStyles count="3"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E10"/>
  <sheetViews>
    <sheetView workbookViewId="0">
      <selection activeCell="G8" sqref="G8"/>
    </sheetView>
  </sheetViews>
  <sheetFormatPr defaultRowHeight="14.25" x14ac:dyDescent="0.45"/>
  <cols>
    <col min="4" max="4" width="6" bestFit="1" customWidth="1"/>
    <col min="5" max="5" width="8.3984375" bestFit="1" customWidth="1"/>
  </cols>
  <sheetData>
    <row r="2" spans="4:5" ht="14.65" thickBot="1" x14ac:dyDescent="0.5"/>
    <row r="3" spans="4:5" ht="16.149999999999999" thickTop="1" x14ac:dyDescent="0.5">
      <c r="D3" s="2" t="s">
        <v>0</v>
      </c>
      <c r="E3" s="6" t="s">
        <v>7</v>
      </c>
    </row>
    <row r="4" spans="4:5" x14ac:dyDescent="0.45">
      <c r="D4" s="3" t="s">
        <v>1</v>
      </c>
      <c r="E4">
        <v>7.85</v>
      </c>
    </row>
    <row r="5" spans="4:5" x14ac:dyDescent="0.45">
      <c r="D5" s="3" t="s">
        <v>2</v>
      </c>
      <c r="E5" s="1">
        <v>92358</v>
      </c>
    </row>
    <row r="6" spans="4:5" x14ac:dyDescent="0.45">
      <c r="D6" s="5" t="s">
        <v>3</v>
      </c>
      <c r="E6" s="4">
        <f>E4*E5</f>
        <v>725010.29999999993</v>
      </c>
    </row>
    <row r="7" spans="4:5" x14ac:dyDescent="0.45">
      <c r="D7" s="5" t="s">
        <v>4</v>
      </c>
      <c r="E7" s="4">
        <f>228803+462851</f>
        <v>691654</v>
      </c>
    </row>
    <row r="8" spans="4:5" x14ac:dyDescent="0.45">
      <c r="D8" s="5" t="s">
        <v>5</v>
      </c>
      <c r="E8" s="4">
        <f>116645+54000+59331</f>
        <v>229976</v>
      </c>
    </row>
    <row r="9" spans="4:5" ht="14.65" thickBot="1" x14ac:dyDescent="0.5">
      <c r="D9" s="7" t="s">
        <v>6</v>
      </c>
      <c r="E9" s="8">
        <f>E6-E7+E8</f>
        <v>263332.29999999993</v>
      </c>
    </row>
    <row r="10" spans="4:5" ht="14.65" thickTop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A016-D3F5-48E2-8B0D-66661F9D91E6}">
  <dimension ref="D1:I24"/>
  <sheetViews>
    <sheetView workbookViewId="0">
      <selection activeCell="H9" sqref="H9"/>
    </sheetView>
  </sheetViews>
  <sheetFormatPr defaultRowHeight="14.25" x14ac:dyDescent="0.45"/>
  <cols>
    <col min="4" max="4" width="45.59765625" bestFit="1" customWidth="1"/>
    <col min="5" max="5" width="10.86328125" bestFit="1" customWidth="1"/>
    <col min="6" max="6" width="13.46484375" bestFit="1" customWidth="1"/>
    <col min="8" max="8" width="23.265625" bestFit="1" customWidth="1"/>
    <col min="9" max="9" width="8.3984375" bestFit="1" customWidth="1"/>
  </cols>
  <sheetData>
    <row r="1" spans="4:9" ht="14.65" thickBot="1" x14ac:dyDescent="0.5"/>
    <row r="2" spans="4:9" ht="16.149999999999999" thickTop="1" x14ac:dyDescent="0.5">
      <c r="D2" s="12" t="s">
        <v>8</v>
      </c>
      <c r="E2" s="16"/>
      <c r="F2" s="27" t="s">
        <v>32</v>
      </c>
      <c r="H2" s="30" t="s">
        <v>30</v>
      </c>
      <c r="I2" s="29">
        <v>725010</v>
      </c>
    </row>
    <row r="3" spans="4:9" ht="15.75" x14ac:dyDescent="0.5">
      <c r="D3" s="13" t="s">
        <v>9</v>
      </c>
      <c r="E3" s="17"/>
      <c r="F3" s="24"/>
      <c r="H3" s="30" t="s">
        <v>31</v>
      </c>
      <c r="I3" s="31">
        <f>E8*0.7+E9*0.7+E12*0.7+E13*0.7+E14*0.7+E15+E17+E16</f>
        <v>910910.3</v>
      </c>
    </row>
    <row r="4" spans="4:9" ht="14.65" thickBot="1" x14ac:dyDescent="0.5">
      <c r="D4" s="14" t="s">
        <v>10</v>
      </c>
      <c r="E4" s="1"/>
      <c r="F4" s="25"/>
      <c r="H4" s="32" t="s">
        <v>33</v>
      </c>
      <c r="I4" s="33">
        <f>I2-I3+E24</f>
        <v>44075.699999999953</v>
      </c>
    </row>
    <row r="5" spans="4:9" ht="14.65" thickTop="1" x14ac:dyDescent="0.45">
      <c r="D5" s="14" t="s">
        <v>11</v>
      </c>
      <c r="E5" s="1">
        <v>45440</v>
      </c>
      <c r="F5" s="23">
        <v>0</v>
      </c>
    </row>
    <row r="6" spans="4:9" x14ac:dyDescent="0.45">
      <c r="D6" s="14" t="s">
        <v>12</v>
      </c>
      <c r="E6" s="1">
        <v>1151862</v>
      </c>
      <c r="F6" s="23">
        <v>0</v>
      </c>
    </row>
    <row r="7" spans="4:9" x14ac:dyDescent="0.45">
      <c r="D7" s="14" t="s">
        <v>13</v>
      </c>
      <c r="E7" s="1">
        <v>53999</v>
      </c>
      <c r="F7" s="23">
        <v>0</v>
      </c>
    </row>
    <row r="8" spans="4:9" x14ac:dyDescent="0.45">
      <c r="D8" s="14" t="s">
        <v>14</v>
      </c>
      <c r="E8" s="1">
        <v>15382</v>
      </c>
      <c r="F8" s="23">
        <v>0.7</v>
      </c>
    </row>
    <row r="9" spans="4:9" x14ac:dyDescent="0.45">
      <c r="D9" s="14" t="s">
        <v>15</v>
      </c>
      <c r="E9" s="1">
        <v>25851</v>
      </c>
      <c r="F9" s="23">
        <v>0.7</v>
      </c>
    </row>
    <row r="10" spans="4:9" x14ac:dyDescent="0.45">
      <c r="D10" s="20" t="s">
        <v>23</v>
      </c>
      <c r="E10" s="21">
        <f>SUM(E4:E9)</f>
        <v>1292534</v>
      </c>
      <c r="F10" s="23"/>
    </row>
    <row r="11" spans="4:9" x14ac:dyDescent="0.45">
      <c r="D11" s="15" t="s">
        <v>16</v>
      </c>
      <c r="E11" s="1"/>
      <c r="F11" s="23"/>
    </row>
    <row r="12" spans="4:9" x14ac:dyDescent="0.45">
      <c r="D12" s="14" t="s">
        <v>22</v>
      </c>
      <c r="E12" s="1">
        <v>37239</v>
      </c>
      <c r="F12" s="23">
        <v>0.7</v>
      </c>
    </row>
    <row r="13" spans="4:9" x14ac:dyDescent="0.45">
      <c r="D13" s="14" t="s">
        <v>19</v>
      </c>
      <c r="E13" s="1">
        <v>64750</v>
      </c>
      <c r="F13" s="23">
        <v>0.7</v>
      </c>
    </row>
    <row r="14" spans="4:9" x14ac:dyDescent="0.45">
      <c r="D14" s="14" t="s">
        <v>20</v>
      </c>
      <c r="E14" s="1">
        <v>94367</v>
      </c>
      <c r="F14" s="23">
        <v>0.7</v>
      </c>
    </row>
    <row r="15" spans="4:9" x14ac:dyDescent="0.45">
      <c r="D15" s="14" t="s">
        <v>18</v>
      </c>
      <c r="E15" s="1">
        <v>667</v>
      </c>
      <c r="F15" s="23">
        <v>1</v>
      </c>
    </row>
    <row r="16" spans="4:9" x14ac:dyDescent="0.45">
      <c r="D16" s="14" t="s">
        <v>21</v>
      </c>
      <c r="E16" s="1">
        <v>52277</v>
      </c>
      <c r="F16" s="23">
        <v>1</v>
      </c>
    </row>
    <row r="17" spans="4:6" x14ac:dyDescent="0.45">
      <c r="D17" s="14" t="s">
        <v>17</v>
      </c>
      <c r="E17" s="1">
        <f>462851+228803</f>
        <v>691654</v>
      </c>
      <c r="F17" s="23">
        <v>1</v>
      </c>
    </row>
    <row r="18" spans="4:6" ht="14.65" thickBot="1" x14ac:dyDescent="0.5">
      <c r="D18" s="18" t="s">
        <v>24</v>
      </c>
      <c r="E18" s="19">
        <f>SUM(E12:E17)</f>
        <v>940954</v>
      </c>
      <c r="F18" s="26"/>
    </row>
    <row r="19" spans="4:6" ht="14.65" thickTop="1" x14ac:dyDescent="0.45">
      <c r="F19" s="22"/>
    </row>
    <row r="20" spans="4:6" x14ac:dyDescent="0.45">
      <c r="D20" s="14" t="s">
        <v>26</v>
      </c>
      <c r="F20" s="22"/>
    </row>
    <row r="21" spans="4:6" x14ac:dyDescent="0.45">
      <c r="D21" s="14" t="s">
        <v>27</v>
      </c>
      <c r="E21" s="10">
        <v>116645</v>
      </c>
      <c r="F21" s="22"/>
    </row>
    <row r="22" spans="4:6" x14ac:dyDescent="0.45">
      <c r="D22" s="14" t="s">
        <v>28</v>
      </c>
      <c r="E22" s="10">
        <v>54000</v>
      </c>
      <c r="F22" s="22"/>
    </row>
    <row r="23" spans="4:6" x14ac:dyDescent="0.45">
      <c r="D23" s="14" t="s">
        <v>29</v>
      </c>
      <c r="E23" s="10">
        <v>59331</v>
      </c>
      <c r="F23" s="22"/>
    </row>
    <row r="24" spans="4:6" x14ac:dyDescent="0.45">
      <c r="D24" s="15" t="s">
        <v>25</v>
      </c>
      <c r="E24" s="11">
        <f>SUM(E21:E23)</f>
        <v>229976</v>
      </c>
      <c r="F24" s="22"/>
    </row>
  </sheetData>
  <mergeCells count="1"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B516-76D5-48C2-B985-A599FF999E2C}">
  <dimension ref="D3:AX32"/>
  <sheetViews>
    <sheetView tabSelected="1" topLeftCell="A7" workbookViewId="0">
      <selection activeCell="E28" sqref="E28"/>
    </sheetView>
  </sheetViews>
  <sheetFormatPr defaultRowHeight="14.25" x14ac:dyDescent="0.45"/>
  <cols>
    <col min="4" max="4" width="34" bestFit="1" customWidth="1"/>
    <col min="5" max="5" width="11.1328125" bestFit="1" customWidth="1"/>
    <col min="8" max="8" width="9.86328125" bestFit="1" customWidth="1"/>
    <col min="10" max="10" width="10.86328125" bestFit="1" customWidth="1"/>
    <col min="13" max="13" width="10.86328125" bestFit="1" customWidth="1"/>
    <col min="16" max="16" width="10.86328125" bestFit="1" customWidth="1"/>
  </cols>
  <sheetData>
    <row r="3" spans="4:16" x14ac:dyDescent="0.45"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</row>
    <row r="4" spans="4:16" x14ac:dyDescent="0.45">
      <c r="D4" s="9" t="s">
        <v>34</v>
      </c>
      <c r="E4" s="11">
        <v>212720</v>
      </c>
      <c r="F4" s="11">
        <v>280786</v>
      </c>
      <c r="G4" s="11">
        <v>303199</v>
      </c>
      <c r="H4" s="11">
        <v>393479</v>
      </c>
      <c r="I4" s="11">
        <v>418701</v>
      </c>
      <c r="J4" s="11">
        <v>395400</v>
      </c>
      <c r="K4" s="11">
        <v>311682</v>
      </c>
      <c r="L4" s="11">
        <v>339192</v>
      </c>
      <c r="M4" s="11">
        <v>365050</v>
      </c>
      <c r="N4" s="11">
        <v>326139</v>
      </c>
      <c r="O4" s="11">
        <v>272619</v>
      </c>
    </row>
    <row r="5" spans="4:16" x14ac:dyDescent="0.45">
      <c r="D5" t="s">
        <v>36</v>
      </c>
      <c r="E5" s="10">
        <v>-101622</v>
      </c>
      <c r="F5" s="10">
        <v>-126980</v>
      </c>
      <c r="G5" s="10">
        <v>-135013</v>
      </c>
      <c r="H5" s="10">
        <v>-131989</v>
      </c>
      <c r="I5" s="10">
        <v>-124187</v>
      </c>
      <c r="J5" s="10">
        <v>-118082</v>
      </c>
      <c r="K5" s="10">
        <v>-113274</v>
      </c>
      <c r="L5" s="10">
        <v>-118828</v>
      </c>
      <c r="M5" s="10">
        <v>-116531</v>
      </c>
      <c r="N5" s="10">
        <v>-100097</v>
      </c>
      <c r="O5" s="10">
        <v>-93984</v>
      </c>
    </row>
    <row r="6" spans="4:16" x14ac:dyDescent="0.45">
      <c r="D6" t="s">
        <v>35</v>
      </c>
      <c r="E6" s="10">
        <v>-71941</v>
      </c>
      <c r="F6" s="10">
        <v>-80268</v>
      </c>
      <c r="G6" s="10">
        <v>-59579</v>
      </c>
      <c r="H6" s="10">
        <v>-63351</v>
      </c>
      <c r="I6" s="10">
        <v>-60922</v>
      </c>
      <c r="J6" s="10">
        <v>-60092</v>
      </c>
      <c r="K6" s="10">
        <v>-59387</v>
      </c>
      <c r="L6" s="10">
        <v>-61184</v>
      </c>
      <c r="M6" s="10">
        <v>-60010</v>
      </c>
      <c r="N6" s="10">
        <v>-63767</v>
      </c>
      <c r="O6" s="10">
        <v>-64963</v>
      </c>
    </row>
    <row r="7" spans="4:16" x14ac:dyDescent="0.45">
      <c r="D7" t="s">
        <v>37</v>
      </c>
      <c r="E7" s="10">
        <v>-5550</v>
      </c>
      <c r="F7" s="10">
        <v>-6553</v>
      </c>
      <c r="G7" s="10">
        <v>-7236</v>
      </c>
      <c r="H7" s="10">
        <v>-8035</v>
      </c>
      <c r="I7" s="10">
        <v>-12945</v>
      </c>
      <c r="J7" s="10">
        <v>-18691</v>
      </c>
      <c r="K7" s="10">
        <v>-19378</v>
      </c>
      <c r="L7" s="10">
        <v>-19822</v>
      </c>
      <c r="M7" s="10">
        <v>-19516</v>
      </c>
      <c r="N7" s="10">
        <v>-19670</v>
      </c>
      <c r="O7" s="10">
        <v>-18465</v>
      </c>
    </row>
    <row r="8" spans="4:16" x14ac:dyDescent="0.45">
      <c r="D8" t="s">
        <v>38</v>
      </c>
      <c r="E8" s="10">
        <v>-25080</v>
      </c>
      <c r="F8" s="10">
        <v>-25243</v>
      </c>
      <c r="G8" s="10">
        <v>-24251</v>
      </c>
      <c r="H8" s="10">
        <v>-24459</v>
      </c>
      <c r="I8" s="10">
        <v>-23975</v>
      </c>
      <c r="J8" s="10">
        <v>-24384</v>
      </c>
      <c r="K8" s="10">
        <v>-24565</v>
      </c>
      <c r="L8" s="10">
        <v>-24627</v>
      </c>
      <c r="M8" s="10">
        <v>-23318</v>
      </c>
      <c r="N8" s="10">
        <v>-22373</v>
      </c>
      <c r="O8" s="10">
        <v>-23445</v>
      </c>
    </row>
    <row r="9" spans="4:16" x14ac:dyDescent="0.45">
      <c r="D9" t="s">
        <v>39</v>
      </c>
      <c r="E9" s="10">
        <v>-16083</v>
      </c>
      <c r="F9" s="10">
        <v>-14143</v>
      </c>
      <c r="G9" s="10">
        <v>-13655</v>
      </c>
      <c r="H9" s="10">
        <v>-13671</v>
      </c>
      <c r="I9" s="10">
        <v>-15216</v>
      </c>
      <c r="J9" s="10">
        <v>-16426</v>
      </c>
      <c r="K9" s="10">
        <v>-13824</v>
      </c>
      <c r="L9" s="10">
        <v>-12124</v>
      </c>
      <c r="M9" s="10">
        <v>-16798</v>
      </c>
      <c r="N9" s="10">
        <v>-17989</v>
      </c>
      <c r="O9" s="10">
        <v>-13938</v>
      </c>
    </row>
    <row r="10" spans="4:16" x14ac:dyDescent="0.45">
      <c r="D10" t="s">
        <v>40</v>
      </c>
      <c r="E10" s="10">
        <v>-421</v>
      </c>
      <c r="F10" s="10">
        <v>1153</v>
      </c>
      <c r="G10" s="10">
        <v>21131</v>
      </c>
      <c r="H10" s="10">
        <v>0</v>
      </c>
      <c r="I10" s="10">
        <v>0</v>
      </c>
      <c r="J10" s="10">
        <v>0</v>
      </c>
      <c r="K10" s="10">
        <v>0</v>
      </c>
      <c r="L10" s="10">
        <v>10360</v>
      </c>
      <c r="M10" s="10">
        <v>11601</v>
      </c>
      <c r="N10" s="10">
        <v>0</v>
      </c>
      <c r="O10" s="10">
        <v>0</v>
      </c>
    </row>
    <row r="11" spans="4:16" x14ac:dyDescent="0.45">
      <c r="D11" t="s">
        <v>41</v>
      </c>
      <c r="E11" s="10">
        <v>-4597</v>
      </c>
      <c r="F11" s="10">
        <v>-1960</v>
      </c>
      <c r="G11" s="10">
        <v>-1211</v>
      </c>
      <c r="H11" s="10">
        <v>-3811</v>
      </c>
      <c r="I11" s="10">
        <v>-1619</v>
      </c>
      <c r="J11" s="10">
        <v>-58</v>
      </c>
      <c r="K11" s="10">
        <v>0</v>
      </c>
      <c r="L11" s="10">
        <v>0</v>
      </c>
      <c r="M11" s="10">
        <v>0</v>
      </c>
      <c r="N11" s="10">
        <v>0</v>
      </c>
      <c r="O11" s="10">
        <v>-5632</v>
      </c>
    </row>
    <row r="12" spans="4:16" x14ac:dyDescent="0.45">
      <c r="D12" s="9" t="s">
        <v>55</v>
      </c>
      <c r="E12" s="11">
        <f t="shared" ref="E12:M12" si="0">SUM(E4:E11)</f>
        <v>-12574</v>
      </c>
      <c r="F12" s="11">
        <f t="shared" si="0"/>
        <v>26792</v>
      </c>
      <c r="G12" s="11">
        <f t="shared" si="0"/>
        <v>83385</v>
      </c>
      <c r="H12" s="11">
        <f t="shared" si="0"/>
        <v>148163</v>
      </c>
      <c r="I12" s="11">
        <f>SUM(I4:I11)</f>
        <v>179837</v>
      </c>
      <c r="J12" s="11">
        <f>SUM(J4:J11)</f>
        <v>157667</v>
      </c>
      <c r="K12" s="11">
        <f t="shared" si="0"/>
        <v>81254</v>
      </c>
      <c r="L12" s="11">
        <f t="shared" si="0"/>
        <v>112967</v>
      </c>
      <c r="M12" s="11">
        <f t="shared" si="0"/>
        <v>140478</v>
      </c>
      <c r="N12" s="11">
        <f>SUM(N4:N11)</f>
        <v>102243</v>
      </c>
      <c r="O12" s="11">
        <f>SUM(O4:O11)</f>
        <v>52192</v>
      </c>
    </row>
    <row r="13" spans="4:16" x14ac:dyDescent="0.45">
      <c r="D13" t="s">
        <v>54</v>
      </c>
      <c r="E13" s="10">
        <v>-10002</v>
      </c>
      <c r="F13" s="10">
        <v>-9413</v>
      </c>
      <c r="G13" s="10">
        <v>-9403</v>
      </c>
      <c r="H13" s="10">
        <v>-9762</v>
      </c>
      <c r="I13" s="10">
        <v>-11377</v>
      </c>
      <c r="J13" s="10">
        <v>-5956</v>
      </c>
      <c r="K13" s="10">
        <v>-6461</v>
      </c>
      <c r="L13" s="10">
        <v>-4215</v>
      </c>
      <c r="M13" s="10">
        <v>-4897</v>
      </c>
      <c r="N13" s="10">
        <v>-1003</v>
      </c>
      <c r="O13" s="10">
        <v>-844</v>
      </c>
    </row>
    <row r="14" spans="4:16" x14ac:dyDescent="0.45">
      <c r="D14" t="s">
        <v>57</v>
      </c>
      <c r="E14" s="10">
        <v>297</v>
      </c>
      <c r="F14" s="10">
        <v>723</v>
      </c>
      <c r="G14" s="10">
        <v>1753</v>
      </c>
      <c r="H14" s="10">
        <v>3916</v>
      </c>
      <c r="I14" s="10">
        <v>5588</v>
      </c>
      <c r="J14" s="10">
        <v>4766</v>
      </c>
      <c r="K14" s="10">
        <v>6652</v>
      </c>
      <c r="L14" s="10">
        <v>7122</v>
      </c>
      <c r="M14" s="10">
        <v>9035</v>
      </c>
      <c r="N14" s="10">
        <v>9773</v>
      </c>
      <c r="O14" s="10">
        <v>9958</v>
      </c>
    </row>
    <row r="15" spans="4:16" x14ac:dyDescent="0.45">
      <c r="D15" t="s">
        <v>59</v>
      </c>
      <c r="E15" s="10">
        <f>1967-12410-754</f>
        <v>-11197</v>
      </c>
      <c r="F15" s="10">
        <f>571-931-198</f>
        <v>-558</v>
      </c>
      <c r="G15" s="10">
        <f>1698-86</f>
        <v>1612</v>
      </c>
      <c r="H15" s="10">
        <f>581-1121</f>
        <v>-540</v>
      </c>
      <c r="I15" s="10">
        <v>1130</v>
      </c>
      <c r="J15" s="10">
        <v>547</v>
      </c>
      <c r="K15" s="10">
        <v>666</v>
      </c>
      <c r="L15" s="10">
        <v>516</v>
      </c>
      <c r="M15" s="10">
        <v>1368</v>
      </c>
      <c r="N15" s="10">
        <v>905</v>
      </c>
      <c r="O15" s="10">
        <v>-121</v>
      </c>
    </row>
    <row r="16" spans="4:16" x14ac:dyDescent="0.45">
      <c r="D16" t="s">
        <v>56</v>
      </c>
      <c r="E16" s="10">
        <v>636</v>
      </c>
      <c r="F16" s="10">
        <v>534</v>
      </c>
      <c r="G16" s="10">
        <v>3288</v>
      </c>
      <c r="H16" s="10">
        <v>1708</v>
      </c>
      <c r="I16" s="10">
        <v>-2601</v>
      </c>
      <c r="J16" s="10">
        <v>1120</v>
      </c>
      <c r="K16" s="10">
        <v>2109</v>
      </c>
      <c r="L16" s="10">
        <v>-2579</v>
      </c>
      <c r="M16" s="10">
        <v>2847</v>
      </c>
      <c r="N16" s="10">
        <v>-3789</v>
      </c>
      <c r="O16" s="10">
        <v>-457</v>
      </c>
    </row>
    <row r="17" spans="4:50" x14ac:dyDescent="0.45">
      <c r="D17" t="s">
        <v>58</v>
      </c>
      <c r="E17" s="10">
        <v>-283</v>
      </c>
      <c r="F17" s="10">
        <v>0</v>
      </c>
      <c r="G17" s="10">
        <v>0</v>
      </c>
      <c r="H17">
        <v>340</v>
      </c>
      <c r="I17" s="10">
        <v>-2664</v>
      </c>
      <c r="J17" s="10">
        <v>-9736</v>
      </c>
      <c r="K17" s="10">
        <v>-95</v>
      </c>
      <c r="L17" s="10">
        <v>1166</v>
      </c>
      <c r="M17" s="10">
        <v>-1068</v>
      </c>
      <c r="N17" s="10">
        <v>2121</v>
      </c>
      <c r="O17" s="10">
        <v>1378</v>
      </c>
    </row>
    <row r="18" spans="4:50" x14ac:dyDescent="0.45">
      <c r="D18" s="9" t="s">
        <v>60</v>
      </c>
      <c r="E18" s="34">
        <f t="shared" ref="E18:L18" si="1">SUM(E12:E17)</f>
        <v>-33123</v>
      </c>
      <c r="F18" s="34">
        <f t="shared" si="1"/>
        <v>18078</v>
      </c>
      <c r="G18" s="34">
        <v>80856</v>
      </c>
      <c r="H18" s="34">
        <f t="shared" si="1"/>
        <v>143825</v>
      </c>
      <c r="I18" s="34">
        <f>SUM(I12:I17)</f>
        <v>169913</v>
      </c>
      <c r="J18" s="34">
        <f>SUM(J12:J17)</f>
        <v>148408</v>
      </c>
      <c r="K18" s="34">
        <f t="shared" si="1"/>
        <v>84125</v>
      </c>
      <c r="L18" s="34">
        <f t="shared" si="1"/>
        <v>114977</v>
      </c>
      <c r="M18" s="34">
        <f>SUM(M12:M17)</f>
        <v>147763</v>
      </c>
      <c r="N18" s="34">
        <f>SUM(N12:N17)</f>
        <v>110250</v>
      </c>
      <c r="O18" s="34">
        <f>SUM(O12:O17)</f>
        <v>62106</v>
      </c>
    </row>
    <row r="19" spans="4:50" x14ac:dyDescent="0.45">
      <c r="D19" s="9" t="s">
        <v>61</v>
      </c>
      <c r="E19" s="11">
        <v>888</v>
      </c>
      <c r="F19" s="11">
        <v>5282</v>
      </c>
      <c r="G19" s="11">
        <v>33133</v>
      </c>
      <c r="H19" s="11">
        <v>39104</v>
      </c>
      <c r="I19" s="11">
        <v>48763</v>
      </c>
      <c r="J19" s="11">
        <v>40338</v>
      </c>
      <c r="K19" s="11">
        <v>26158</v>
      </c>
      <c r="L19" s="11">
        <v>35382</v>
      </c>
      <c r="M19" s="11">
        <v>54636</v>
      </c>
      <c r="N19" s="11">
        <v>33820</v>
      </c>
      <c r="O19" s="11">
        <v>20072</v>
      </c>
    </row>
    <row r="23" spans="4:50" x14ac:dyDescent="0.45">
      <c r="E23">
        <v>2011</v>
      </c>
      <c r="F23">
        <v>2012</v>
      </c>
      <c r="G23">
        <v>2013</v>
      </c>
      <c r="H23">
        <v>2014</v>
      </c>
      <c r="I23">
        <v>2015</v>
      </c>
      <c r="J23">
        <v>2016</v>
      </c>
      <c r="K23">
        <v>2017</v>
      </c>
      <c r="L23">
        <v>2018</v>
      </c>
      <c r="M23">
        <v>2019</v>
      </c>
      <c r="N23">
        <v>2020</v>
      </c>
      <c r="O23">
        <v>2021</v>
      </c>
      <c r="P23">
        <v>2022</v>
      </c>
      <c r="Q23">
        <v>2023</v>
      </c>
      <c r="R23">
        <v>2024</v>
      </c>
    </row>
    <row r="24" spans="4:50" s="10" customFormat="1" x14ac:dyDescent="0.45">
      <c r="E24" s="10">
        <v>-358616</v>
      </c>
      <c r="F24" s="10">
        <v>-160180</v>
      </c>
      <c r="G24" s="10">
        <v>-114738</v>
      </c>
      <c r="H24" s="10">
        <v>124002</v>
      </c>
      <c r="I24" s="10">
        <v>405460</v>
      </c>
      <c r="J24" s="10">
        <v>86664</v>
      </c>
      <c r="K24" s="10">
        <v>-529072</v>
      </c>
      <c r="L24" s="10">
        <v>-57747</v>
      </c>
      <c r="M24" s="10">
        <v>-148986</v>
      </c>
      <c r="O24" s="10">
        <v>51364</v>
      </c>
      <c r="P24" s="10">
        <v>191066</v>
      </c>
      <c r="Q24" s="10">
        <v>519395</v>
      </c>
    </row>
    <row r="25" spans="4:50" x14ac:dyDescent="0.45">
      <c r="O25" s="28"/>
    </row>
    <row r="28" spans="4:50" ht="51.4" x14ac:dyDescent="1.5">
      <c r="E28" s="36" t="s">
        <v>62</v>
      </c>
    </row>
    <row r="29" spans="4:50" x14ac:dyDescent="0.45">
      <c r="E29" s="28"/>
    </row>
    <row r="30" spans="4:50" x14ac:dyDescent="0.45">
      <c r="E30" s="28"/>
    </row>
    <row r="31" spans="4:50" x14ac:dyDescent="0.45">
      <c r="D31" s="9"/>
      <c r="E31" s="35"/>
    </row>
    <row r="32" spans="4:50" x14ac:dyDescent="0.45"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TK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2024-11-15T18:05:37Z</dcterms:modified>
</cp:coreProperties>
</file>